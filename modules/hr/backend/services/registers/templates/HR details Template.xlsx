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\HR manager\backend\templates\"/>
    </mc:Choice>
  </mc:AlternateContent>
  <xr:revisionPtr revIDLastSave="0" documentId="13_ncr:1_{BDC76AFC-CA65-40DC-BB3E-B426C333D249}" xr6:coauthVersionLast="47" xr6:coauthVersionMax="47" xr10:uidLastSave="{00000000-0000-0000-0000-000000000000}"/>
  <bookViews>
    <workbookView xWindow="-108" yWindow="-108" windowWidth="23256" windowHeight="13176" tabRatio="882" xr2:uid="{00000000-000D-0000-FFFF-FFFF00000000}"/>
  </bookViews>
  <sheets>
    <sheet name="In -out register" sheetId="52" r:id="rId1"/>
    <sheet name="ESIC_EPF_Tracking sheet" sheetId="57" r:id="rId2"/>
    <sheet name="Form No.XXVI" sheetId="47" r:id="rId3"/>
    <sheet name="Form XXVII Register of Wages" sheetId="42" r:id="rId4"/>
    <sheet name="Form XXVIII Wage Slip" sheetId="49" r:id="rId5"/>
    <sheet name="Deduction" sheetId="51" r:id="rId6"/>
    <sheet name="Form B Consolidated Wages" sheetId="63" r:id="rId7"/>
    <sheet name="Form D Equal Wages Register" sheetId="64" r:id="rId8"/>
    <sheet name="Form VI" sheetId="65" r:id="rId9"/>
    <sheet name="Form C Register of Unpaid" sheetId="66" r:id="rId10"/>
  </sheets>
  <externalReferences>
    <externalReference r:id="rId11"/>
  </externalReferences>
  <definedNames>
    <definedName name="_xlnm._FilterDatabase" localSheetId="1" hidden="1">'ESIC_EPF_Tracking sheet'!$A$13:$J$13</definedName>
    <definedName name="_xlnm._FilterDatabase" localSheetId="3" hidden="1">'Form XXVII Register of Wages'!$A$2:$AD$9</definedName>
    <definedName name="Date_Values">'[1]Reference Sheet'!$D$4:$D$16</definedName>
    <definedName name="EmployeeName">'[1]Input Sheet August 2019'!$C$7:$C$36</definedName>
    <definedName name="Lehmann_Thomas" comment="Cantek Parsson  Prajna  30223339" localSheetId="1">#REF!</definedName>
    <definedName name="Lehmann_Thomas" comment="Cantek Parsson  Prajna  30223339" localSheetId="6">#REF!</definedName>
    <definedName name="Lehmann_Thomas" comment="Cantek Parsson  Prajna  30223339" localSheetId="9">#REF!</definedName>
    <definedName name="Lehmann_Thomas" comment="Cantek Parsson  Prajna  30223339" localSheetId="7">#REF!</definedName>
    <definedName name="Lehmann_Thomas" comment="Cantek Parsson  Prajna  30223339" localSheetId="8">#REF!</definedName>
    <definedName name="Lehmann_Thomas" comment="Cantek Parsson  Prajna  30223339">#REF!</definedName>
    <definedName name="Months">'[1]Reference Sheet'!$H$5:$H$16</definedName>
    <definedName name="_xlnm.Print_Area" localSheetId="5">Deduction!$A$1:$T$15</definedName>
    <definedName name="_xlnm.Print_Area" localSheetId="1">'ESIC_EPF_Tracking sheet'!$A$1:$K$21</definedName>
    <definedName name="_xlnm.Print_Area" localSheetId="6">'Form B Consolidated Wages'!$B$4:$K$25</definedName>
    <definedName name="_xlnm.Print_Area" localSheetId="9">'Form C Register of Unpaid'!$A$1:$E$26</definedName>
    <definedName name="_xlnm.Print_Area" localSheetId="7">'Form D Equal Wages Register'!$A$1:$J$18</definedName>
    <definedName name="_xlnm.Print_Area" localSheetId="2">'Form No.XXVI'!$A$1:$AW$11</definedName>
    <definedName name="_xlnm.Print_Area" localSheetId="3">'Form XXVII Register of Wages'!$B$2:$AA$23</definedName>
    <definedName name="_xlnm.Print_Area" localSheetId="4">'Form XXVIII Wage Slip'!$B$1:$H$110</definedName>
    <definedName name="_xlnm.Print_Area" localSheetId="0">'In -out register'!$A$1:$AL$27</definedName>
    <definedName name="_xlnm.Print_Titles" localSheetId="5">Deduction!$1:$6</definedName>
    <definedName name="_xlnm.Print_Titles" localSheetId="0">'In -out register'!$1:$4</definedName>
    <definedName name="SEZ" localSheetId="1">#REF!</definedName>
    <definedName name="SEZ" localSheetId="6">#REF!</definedName>
    <definedName name="SEZ" localSheetId="9">#REF!</definedName>
    <definedName name="SEZ" localSheetId="7">#REF!</definedName>
    <definedName name="SEZ" localSheetId="8">#REF!</definedName>
    <definedName name="SEZ">#REF!</definedName>
    <definedName name="Sl_No" localSheetId="1">#REF!</definedName>
    <definedName name="Sl_No" localSheetId="6">#REF!</definedName>
    <definedName name="Sl_No" localSheetId="9">#REF!</definedName>
    <definedName name="Sl_No" localSheetId="7">#REF!</definedName>
    <definedName name="Sl_No" localSheetId="8">#REF!</definedName>
    <definedName name="Sl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" i="42" l="1"/>
  <c r="AH9" i="42"/>
  <c r="AH10" i="42"/>
  <c r="AH11" i="42"/>
  <c r="AH12" i="42"/>
  <c r="AH7" i="42"/>
  <c r="AE10" i="42"/>
  <c r="AE11" i="42"/>
  <c r="AE12" i="42"/>
  <c r="AD10" i="42"/>
  <c r="AD11" i="42"/>
  <c r="AD12" i="42"/>
  <c r="L7" i="42"/>
  <c r="L8" i="42"/>
  <c r="L9" i="42"/>
  <c r="J8" i="42"/>
  <c r="J9" i="42"/>
  <c r="J10" i="42"/>
  <c r="J11" i="42"/>
  <c r="J12" i="42"/>
  <c r="J7" i="42"/>
  <c r="AO12" i="47"/>
  <c r="H12" i="42" s="1"/>
  <c r="H8" i="42"/>
  <c r="H9" i="42"/>
  <c r="H10" i="42"/>
  <c r="H11" i="42"/>
  <c r="H7" i="42"/>
  <c r="AS8" i="47" a="1"/>
  <c r="AS9" i="47" a="1"/>
  <c r="AS10" i="47" a="1"/>
  <c r="AS11" i="47" a="1"/>
  <c r="AS12" i="47" a="1"/>
  <c r="AS7" i="47" a="1"/>
  <c r="AO8" i="47"/>
  <c r="AO9" i="47"/>
  <c r="AO10" i="47"/>
  <c r="AO11" i="47"/>
  <c r="I13" i="47"/>
  <c r="AL13" i="52"/>
  <c r="AL17" i="52"/>
  <c r="AK13" i="52"/>
  <c r="AK17" i="52"/>
  <c r="AJ13" i="52"/>
  <c r="F19" i="52"/>
  <c r="G19" i="52"/>
  <c r="H19" i="52"/>
  <c r="I19" i="52"/>
  <c r="J19" i="52"/>
  <c r="K19" i="52"/>
  <c r="L19" i="52"/>
  <c r="M19" i="52"/>
  <c r="N19" i="52"/>
  <c r="O19" i="52"/>
  <c r="P19" i="52"/>
  <c r="Q19" i="52"/>
  <c r="R19" i="52"/>
  <c r="S19" i="52"/>
  <c r="T19" i="52"/>
  <c r="U19" i="52"/>
  <c r="V19" i="52"/>
  <c r="V20" i="52" s="1"/>
  <c r="W19" i="52"/>
  <c r="W20" i="52" s="1"/>
  <c r="X19" i="52"/>
  <c r="X20" i="52" s="1"/>
  <c r="Y19" i="52"/>
  <c r="Y20" i="52" s="1"/>
  <c r="Z19" i="52"/>
  <c r="Z20" i="52" s="1"/>
  <c r="AA19" i="52"/>
  <c r="AA20" i="52" s="1"/>
  <c r="AB19" i="52"/>
  <c r="AB20" i="52" s="1"/>
  <c r="AC19" i="52"/>
  <c r="AC20" i="52" s="1"/>
  <c r="AD19" i="52"/>
  <c r="AD20" i="52" s="1"/>
  <c r="AE19" i="52"/>
  <c r="AF19" i="52"/>
  <c r="AF20" i="52" s="1"/>
  <c r="AG19" i="52"/>
  <c r="AG20" i="52" s="1"/>
  <c r="AH19" i="52"/>
  <c r="AH20" i="52" s="1"/>
  <c r="F20" i="52"/>
  <c r="G20" i="52"/>
  <c r="H20" i="52"/>
  <c r="I20" i="52"/>
  <c r="J20" i="52"/>
  <c r="K20" i="52"/>
  <c r="L20" i="52"/>
  <c r="M20" i="52"/>
  <c r="N20" i="52"/>
  <c r="O20" i="52"/>
  <c r="P20" i="52"/>
  <c r="Q20" i="52"/>
  <c r="R20" i="52"/>
  <c r="S20" i="52"/>
  <c r="T20" i="52"/>
  <c r="U20" i="52"/>
  <c r="E19" i="52"/>
  <c r="E20" i="52" s="1"/>
  <c r="F15" i="52"/>
  <c r="G15" i="52"/>
  <c r="H15" i="52"/>
  <c r="H16" i="52" s="1"/>
  <c r="I15" i="52"/>
  <c r="I16" i="52" s="1"/>
  <c r="J15" i="52"/>
  <c r="J16" i="52" s="1"/>
  <c r="K15" i="52"/>
  <c r="K16" i="52" s="1"/>
  <c r="L15" i="52"/>
  <c r="L16" i="52" s="1"/>
  <c r="M15" i="52"/>
  <c r="M16" i="52" s="1"/>
  <c r="N15" i="52"/>
  <c r="N16" i="52" s="1"/>
  <c r="O15" i="52"/>
  <c r="O16" i="52" s="1"/>
  <c r="P15" i="52"/>
  <c r="P16" i="52" s="1"/>
  <c r="Q15" i="52"/>
  <c r="Q16" i="52" s="1"/>
  <c r="R15" i="52"/>
  <c r="R16" i="52" s="1"/>
  <c r="S15" i="52"/>
  <c r="S16" i="52" s="1"/>
  <c r="T15" i="52"/>
  <c r="T16" i="52" s="1"/>
  <c r="U15" i="52"/>
  <c r="U16" i="52" s="1"/>
  <c r="V15" i="52"/>
  <c r="V16" i="52" s="1"/>
  <c r="W15" i="52"/>
  <c r="W16" i="52" s="1"/>
  <c r="X15" i="52"/>
  <c r="X16" i="52" s="1"/>
  <c r="Y15" i="52"/>
  <c r="Y16" i="52" s="1"/>
  <c r="Z15" i="52"/>
  <c r="Z16" i="52" s="1"/>
  <c r="AA15" i="52"/>
  <c r="AA16" i="52" s="1"/>
  <c r="AB15" i="52"/>
  <c r="AC15" i="52"/>
  <c r="AD15" i="52"/>
  <c r="AE15" i="52"/>
  <c r="AF15" i="52"/>
  <c r="AG15" i="52"/>
  <c r="AH15" i="52"/>
  <c r="F16" i="52"/>
  <c r="G16" i="52"/>
  <c r="AB16" i="52"/>
  <c r="AC16" i="52"/>
  <c r="AD16" i="52"/>
  <c r="AE16" i="52"/>
  <c r="AF16" i="52"/>
  <c r="AG16" i="52"/>
  <c r="AH16" i="52"/>
  <c r="E15" i="52"/>
  <c r="E16" i="52" s="1"/>
  <c r="J11" i="52"/>
  <c r="J12" i="52" s="1"/>
  <c r="K11" i="52"/>
  <c r="K12" i="52" s="1"/>
  <c r="L11" i="52"/>
  <c r="L12" i="52" s="1"/>
  <c r="M11" i="52"/>
  <c r="M12" i="52" s="1"/>
  <c r="N11" i="52"/>
  <c r="N12" i="52" s="1"/>
  <c r="O11" i="52"/>
  <c r="O12" i="52" s="1"/>
  <c r="P11" i="52"/>
  <c r="P12" i="52" s="1"/>
  <c r="Q11" i="52"/>
  <c r="Q12" i="52" s="1"/>
  <c r="R11" i="52"/>
  <c r="R12" i="52" s="1"/>
  <c r="S11" i="52"/>
  <c r="S12" i="52" s="1"/>
  <c r="T11" i="52"/>
  <c r="T12" i="52" s="1"/>
  <c r="U11" i="52"/>
  <c r="U12" i="52" s="1"/>
  <c r="V11" i="52"/>
  <c r="V12" i="52" s="1"/>
  <c r="W11" i="52"/>
  <c r="W12" i="52" s="1"/>
  <c r="X11" i="52"/>
  <c r="X12" i="52" s="1"/>
  <c r="Y11" i="52"/>
  <c r="Z11" i="52"/>
  <c r="AA11" i="52"/>
  <c r="AB11" i="52"/>
  <c r="AC11" i="52"/>
  <c r="AD11" i="52"/>
  <c r="AE11" i="52"/>
  <c r="AF11" i="52"/>
  <c r="AF12" i="52" s="1"/>
  <c r="AG11" i="52"/>
  <c r="AH11" i="52"/>
  <c r="Y12" i="52"/>
  <c r="Z12" i="52"/>
  <c r="AA12" i="52"/>
  <c r="AB12" i="52"/>
  <c r="AC12" i="52"/>
  <c r="AD12" i="52"/>
  <c r="AE12" i="52"/>
  <c r="AG12" i="52"/>
  <c r="AH12" i="52"/>
  <c r="G11" i="52"/>
  <c r="G12" i="52" s="1"/>
  <c r="E7" i="52"/>
  <c r="E8" i="52" s="1"/>
  <c r="AA7" i="52"/>
  <c r="AA8" i="52" s="1"/>
  <c r="AB7" i="52"/>
  <c r="AB8" i="52" s="1"/>
  <c r="AC7" i="52"/>
  <c r="AC8" i="52" s="1"/>
  <c r="AD7" i="52"/>
  <c r="AD8" i="52" s="1"/>
  <c r="AE7" i="52"/>
  <c r="AE8" i="52" s="1"/>
  <c r="AF7" i="52"/>
  <c r="AG7" i="52"/>
  <c r="AH7" i="52"/>
  <c r="AF8" i="52"/>
  <c r="AG8" i="52"/>
  <c r="AH8" i="52"/>
  <c r="V7" i="52"/>
  <c r="V8" i="52" s="1"/>
  <c r="U7" i="52"/>
  <c r="U8" i="52" s="1"/>
  <c r="P7" i="52"/>
  <c r="P8" i="52" s="1"/>
  <c r="I7" i="52"/>
  <c r="I8" i="52" s="1"/>
  <c r="A10" i="65"/>
  <c r="AK9" i="52"/>
  <c r="I11" i="52"/>
  <c r="I12" i="52" s="1"/>
  <c r="H11" i="52"/>
  <c r="H12" i="52" s="1"/>
  <c r="F11" i="52"/>
  <c r="F12" i="52" s="1"/>
  <c r="E11" i="52"/>
  <c r="E12" i="52" s="1"/>
  <c r="H7" i="52"/>
  <c r="H8" i="52" s="1"/>
  <c r="Z7" i="52"/>
  <c r="Z8" i="52" s="1"/>
  <c r="Y7" i="52"/>
  <c r="Y8" i="52" s="1"/>
  <c r="X7" i="52"/>
  <c r="X8" i="52" s="1"/>
  <c r="W7" i="52"/>
  <c r="W8" i="52" s="1"/>
  <c r="T7" i="52"/>
  <c r="T8" i="52" s="1"/>
  <c r="S7" i="52"/>
  <c r="S8" i="52" s="1"/>
  <c r="R7" i="52"/>
  <c r="R8" i="52" s="1"/>
  <c r="Q7" i="52"/>
  <c r="Q8" i="52" s="1"/>
  <c r="O7" i="52"/>
  <c r="O8" i="52" s="1"/>
  <c r="N7" i="52"/>
  <c r="N8" i="52" s="1"/>
  <c r="M7" i="52"/>
  <c r="M8" i="52" s="1"/>
  <c r="L7" i="52"/>
  <c r="L8" i="52" s="1"/>
  <c r="K7" i="52"/>
  <c r="K8" i="52" s="1"/>
  <c r="J7" i="52"/>
  <c r="J8" i="52" s="1"/>
  <c r="G7" i="52"/>
  <c r="F7" i="52"/>
  <c r="AE20" i="52" l="1"/>
  <c r="AJ17" i="52"/>
  <c r="G8" i="52"/>
  <c r="AK5" i="52"/>
  <c r="AL9" i="52"/>
  <c r="AJ9" i="52"/>
  <c r="AJ5" i="52"/>
  <c r="F8" i="52"/>
  <c r="AL5" i="52" l="1"/>
  <c r="D203" i="49"/>
  <c r="D202" i="49"/>
  <c r="D201" i="49"/>
  <c r="D172" i="49"/>
  <c r="D167" i="49"/>
  <c r="D166" i="49"/>
  <c r="D165" i="49"/>
  <c r="G130" i="49"/>
  <c r="D135" i="49"/>
  <c r="D130" i="49"/>
  <c r="D129" i="49"/>
  <c r="D128" i="49"/>
  <c r="D209" i="49"/>
  <c r="D208" i="49"/>
  <c r="G206" i="49"/>
  <c r="G204" i="49"/>
  <c r="G203" i="49"/>
  <c r="F200" i="49"/>
  <c r="G171" i="49"/>
  <c r="G168" i="49"/>
  <c r="G167" i="49"/>
  <c r="F164" i="49"/>
  <c r="G133" i="49"/>
  <c r="G131" i="49"/>
  <c r="F127" i="49"/>
  <c r="G209" i="49" l="1"/>
  <c r="H209" i="49" s="1"/>
  <c r="G173" i="49"/>
  <c r="H173" i="49" s="1"/>
  <c r="D211" i="49"/>
  <c r="G136" i="49"/>
  <c r="H136" i="49" s="1"/>
  <c r="U13" i="42"/>
  <c r="T13" i="42"/>
  <c r="S13" i="42"/>
  <c r="Z13" i="42"/>
  <c r="AA13" i="42"/>
  <c r="AB13" i="42"/>
  <c r="AF13" i="42"/>
  <c r="AG13" i="42"/>
  <c r="F12" i="42"/>
  <c r="L12" i="42" s="1"/>
  <c r="M12" i="42" s="1"/>
  <c r="Y12" i="42" s="1"/>
  <c r="AC12" i="42" s="1"/>
  <c r="AI12" i="42" s="1"/>
  <c r="F11" i="42"/>
  <c r="L11" i="42" s="1"/>
  <c r="M11" i="42" s="1"/>
  <c r="Y11" i="42" s="1"/>
  <c r="F10" i="42"/>
  <c r="AN10" i="47"/>
  <c r="AR10" i="47"/>
  <c r="AN11" i="47"/>
  <c r="AR11" i="47"/>
  <c r="AN12" i="47"/>
  <c r="AR12" i="47"/>
  <c r="I14" i="47"/>
  <c r="J13" i="47"/>
  <c r="J14" i="47" s="1"/>
  <c r="K13" i="47"/>
  <c r="K14" i="47" s="1"/>
  <c r="L13" i="47"/>
  <c r="L14" i="47" s="1"/>
  <c r="M13" i="47"/>
  <c r="M14" i="47" s="1"/>
  <c r="N13" i="47"/>
  <c r="N14" i="47" s="1"/>
  <c r="O13" i="47"/>
  <c r="O14" i="47" s="1"/>
  <c r="P13" i="47"/>
  <c r="P14" i="47" s="1"/>
  <c r="Q13" i="47"/>
  <c r="Q14" i="47" s="1"/>
  <c r="R13" i="47"/>
  <c r="R14" i="47" s="1"/>
  <c r="S13" i="47"/>
  <c r="S14" i="47" s="1"/>
  <c r="T13" i="47"/>
  <c r="T14" i="47" s="1"/>
  <c r="U13" i="47"/>
  <c r="U14" i="47" s="1"/>
  <c r="V13" i="47"/>
  <c r="V14" i="47" s="1"/>
  <c r="W13" i="47"/>
  <c r="W14" i="47" s="1"/>
  <c r="X13" i="47"/>
  <c r="X14" i="47" s="1"/>
  <c r="Y13" i="47"/>
  <c r="Y14" i="47" s="1"/>
  <c r="Z13" i="47"/>
  <c r="Z14" i="47" s="1"/>
  <c r="AA13" i="47"/>
  <c r="AA14" i="47" s="1"/>
  <c r="AB13" i="47"/>
  <c r="AB14" i="47" s="1"/>
  <c r="AC13" i="47"/>
  <c r="AC14" i="47" s="1"/>
  <c r="AD13" i="47"/>
  <c r="AD14" i="47" s="1"/>
  <c r="AE13" i="47"/>
  <c r="AE14" i="47" s="1"/>
  <c r="AF13" i="47"/>
  <c r="AF14" i="47" s="1"/>
  <c r="AG13" i="47"/>
  <c r="AG14" i="47" s="1"/>
  <c r="AH13" i="47"/>
  <c r="AH14" i="47" s="1"/>
  <c r="AI13" i="47"/>
  <c r="AI14" i="47" s="1"/>
  <c r="AJ13" i="47"/>
  <c r="AJ14" i="47" s="1"/>
  <c r="AK13" i="47"/>
  <c r="AK14" i="47" s="1"/>
  <c r="AM13" i="47"/>
  <c r="AM14" i="47" s="1"/>
  <c r="AO13" i="47"/>
  <c r="AP13" i="47"/>
  <c r="AQ13" i="47"/>
  <c r="L10" i="42" l="1"/>
  <c r="M10" i="42" s="1"/>
  <c r="Y10" i="42" s="1"/>
  <c r="H201" i="49"/>
  <c r="H211" i="49"/>
  <c r="AT12" i="47"/>
  <c r="AC11" i="42"/>
  <c r="AI11" i="42" s="1"/>
  <c r="D173" i="49"/>
  <c r="D175" i="49" s="1"/>
  <c r="AT11" i="47"/>
  <c r="AC10" i="42" l="1"/>
  <c r="AI10" i="42" s="1"/>
  <c r="D136" i="49"/>
  <c r="D138" i="49" s="1"/>
  <c r="H165" i="49"/>
  <c r="H175" i="49"/>
  <c r="J10" i="63"/>
  <c r="H138" i="49" l="1"/>
  <c r="H128" i="49"/>
  <c r="J9" i="63"/>
  <c r="J8" i="63"/>
  <c r="M7" i="42" l="1"/>
  <c r="Y7" i="42" s="1"/>
  <c r="D24" i="49" s="1"/>
  <c r="M9" i="42"/>
  <c r="Y9" i="42" s="1"/>
  <c r="M8" i="42"/>
  <c r="Y8" i="42" s="1"/>
  <c r="AR7" i="47" l="1"/>
  <c r="M13" i="42" l="1"/>
  <c r="G98" i="49" l="1"/>
  <c r="F89" i="49"/>
  <c r="H82" i="49"/>
  <c r="G56" i="49"/>
  <c r="F47" i="49"/>
  <c r="H40" i="49"/>
  <c r="G21" i="49"/>
  <c r="F197" i="49" l="1"/>
  <c r="F161" i="49"/>
  <c r="F124" i="49"/>
  <c r="H117" i="49"/>
  <c r="H154" i="49"/>
  <c r="H190" i="49"/>
  <c r="AS13" i="47"/>
  <c r="AR9" i="47"/>
  <c r="AR13" i="47" s="1"/>
  <c r="AN9" i="47"/>
  <c r="AN13" i="47" s="1"/>
  <c r="AT9" i="47" l="1"/>
  <c r="AT13" i="47" s="1"/>
  <c r="H11" i="64" l="1"/>
  <c r="H10" i="64"/>
  <c r="J6" i="64"/>
  <c r="A8" i="51"/>
  <c r="A9" i="51" s="1"/>
  <c r="A10" i="51" s="1"/>
  <c r="A11" i="51" s="1"/>
  <c r="A12" i="51" s="1"/>
  <c r="D100" i="49"/>
  <c r="D95" i="49"/>
  <c r="D94" i="49"/>
  <c r="D93" i="49"/>
  <c r="F92" i="49"/>
  <c r="D58" i="49"/>
  <c r="D53" i="49"/>
  <c r="D52" i="49"/>
  <c r="D51" i="49"/>
  <c r="F50" i="49"/>
  <c r="D23" i="49"/>
  <c r="D18" i="49"/>
  <c r="D17" i="49"/>
  <c r="D16" i="49"/>
  <c r="F15" i="49"/>
  <c r="AK13" i="42"/>
  <c r="X13" i="42"/>
  <c r="W13" i="42"/>
  <c r="V13" i="42"/>
  <c r="F9" i="42"/>
  <c r="F8" i="42"/>
  <c r="AC7" i="42"/>
  <c r="F7" i="42"/>
  <c r="AR8" i="47"/>
  <c r="AN8" i="47"/>
  <c r="AN7" i="47"/>
  <c r="AO7" i="47" s="1"/>
  <c r="AD7" i="42" l="1"/>
  <c r="D101" i="49"/>
  <c r="D103" i="49" s="1"/>
  <c r="H93" i="49" s="1"/>
  <c r="AC9" i="42"/>
  <c r="AD9" i="42" s="1"/>
  <c r="AC8" i="42"/>
  <c r="AD8" i="42" s="1"/>
  <c r="G53" i="49" s="1"/>
  <c r="D59" i="49"/>
  <c r="D61" i="49" s="1"/>
  <c r="H51" i="49" s="1"/>
  <c r="AE7" i="42"/>
  <c r="Y13" i="42"/>
  <c r="D26" i="49"/>
  <c r="H16" i="49" s="1"/>
  <c r="AT8" i="47"/>
  <c r="AD13" i="42" l="1"/>
  <c r="AC13" i="42"/>
  <c r="AE9" i="42"/>
  <c r="G96" i="49" s="1"/>
  <c r="AE8" i="42"/>
  <c r="G54" i="49" s="1"/>
  <c r="G59" i="49" s="1"/>
  <c r="H59" i="49" s="1"/>
  <c r="G18" i="49"/>
  <c r="G19" i="49"/>
  <c r="G95" i="49"/>
  <c r="AT7" i="47"/>
  <c r="AI7" i="42" l="1"/>
  <c r="AE13" i="42"/>
  <c r="G101" i="49"/>
  <c r="AI9" i="42"/>
  <c r="AI8" i="42"/>
  <c r="H61" i="49"/>
  <c r="G24" i="49"/>
  <c r="H24" i="49" s="1"/>
  <c r="H101" i="49" l="1"/>
  <c r="H103" i="49"/>
  <c r="AH13" i="42"/>
  <c r="AI13" i="42"/>
  <c r="H26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<sst xmlns="http://schemas.openxmlformats.org/spreadsheetml/2006/main" count="728" uniqueCount="300">
  <si>
    <t>Register of In and Out register of the Gate Entry which needs to match with the 
FORM No. XXVI   (See Rule 75)    Register of Employment of Contract Labour</t>
  </si>
  <si>
    <t>Month</t>
  </si>
  <si>
    <t>Work Locaiton</t>
  </si>
  <si>
    <t>Bosch Global Software Technologies Private Limited
KGISL Infrastructure Private Limited - SEZ, Keeranatham Village, Saravanampatti, 
Coimbatore – 641035.</t>
  </si>
  <si>
    <t>Name and address of the 
Main Contractor:</t>
  </si>
  <si>
    <t>Name and address of the 
Sub - Contractor:</t>
  </si>
  <si>
    <t xml:space="preserve">WATER WORKS ENGINEERING 
#65-B, GURUSAMY NAGAR, THANNEERPANDAL, PEELAMEDU, 
COIMBATORE-641 004.    </t>
  </si>
  <si>
    <t>Serial No.</t>
  </si>
  <si>
    <t>E Code</t>
  </si>
  <si>
    <t>Name of the                                           Workman</t>
  </si>
  <si>
    <t>Swipe / Entry Records</t>
  </si>
  <si>
    <t>Daily hours of work done</t>
  </si>
  <si>
    <t>Total Hrs  Woked</t>
  </si>
  <si>
    <t>Number of days worked</t>
  </si>
  <si>
    <t>Over Time  Hours</t>
  </si>
  <si>
    <t>C-0065</t>
  </si>
  <si>
    <t>PRAKASH ANNADURAI</t>
  </si>
  <si>
    <t>In</t>
  </si>
  <si>
    <t>Out</t>
  </si>
  <si>
    <t>POOVARASAN JAISANKAR</t>
  </si>
  <si>
    <t>`</t>
  </si>
  <si>
    <t xml:space="preserve">Name of the Contractor: WATER WORKS ENGINEERING </t>
  </si>
  <si>
    <t xml:space="preserve">Address : 
#65-B, GURUSAMY NAGAR, THANNEERPANDAL, PEELAMEDU, 
COIMBATORE-641 004
</t>
  </si>
  <si>
    <t>Nature of Work : Operation&amp;Maintenance (STP)</t>
  </si>
  <si>
    <t>Company ESIC Code No.:56001274280000999</t>
  </si>
  <si>
    <t>Company EPF Code No. :CBCBE3191011000</t>
  </si>
  <si>
    <t>Work-men Compensation Policy # : with validity :    -</t>
  </si>
  <si>
    <t>Employee Provident Fund Particulars</t>
  </si>
  <si>
    <t>ESIC Particulars</t>
  </si>
  <si>
    <t>Remaks 
/ Location</t>
  </si>
  <si>
    <t>Sl. No.</t>
  </si>
  <si>
    <t>Name of The Employee as per the Attendance &amp; Wage Register</t>
  </si>
  <si>
    <t xml:space="preserve">UAN No. </t>
  </si>
  <si>
    <t>PF No.</t>
  </si>
  <si>
    <t>Page No</t>
  </si>
  <si>
    <t>Sl. No. in ECR Copy</t>
  </si>
  <si>
    <t>ESIC No</t>
  </si>
  <si>
    <t>Location</t>
  </si>
  <si>
    <t>FORM No. XXVI            (See Rule 75)    Register of Employment of Contract Labour</t>
  </si>
  <si>
    <t>Name and address of the 
Principal Employer:</t>
  </si>
  <si>
    <t xml:space="preserve">Bosch Global Software Technologies Private Limited
KGISL Infrastructure Private Limited - SEZ, Keeranatham Village,   Saravanampatti, 
Coimbatore – 641035.  </t>
  </si>
  <si>
    <t>Name and Location of the work site:</t>
  </si>
  <si>
    <t xml:space="preserve">WATER WORKS ENGINEERING 
#65-B, GURUSAMY NAGAR, THANNEERPANDAL, PEELAMEDU, 
COIMBATORE-641 004. </t>
  </si>
  <si>
    <t>Year</t>
  </si>
  <si>
    <t>Name of the workman</t>
  </si>
  <si>
    <t>Age and Gender</t>
  </si>
  <si>
    <t>Permanent /Local address</t>
  </si>
  <si>
    <t>Designation 
(Nature of work)</t>
  </si>
  <si>
    <t>Father's / Husband's name</t>
  </si>
  <si>
    <t>Date of entry into service</t>
  </si>
  <si>
    <t>Holiday Days</t>
  </si>
  <si>
    <t>Holiday Working Days</t>
  </si>
  <si>
    <t>Paid Leave Days</t>
  </si>
  <si>
    <t>Week Off Days</t>
  </si>
  <si>
    <t>Total Paid Days</t>
  </si>
  <si>
    <t>Signature or Thumb impression of the workman</t>
  </si>
  <si>
    <t>Date of termination of employment</t>
  </si>
  <si>
    <t>Signature of Contractor / Representative</t>
  </si>
  <si>
    <t>Operator</t>
  </si>
  <si>
    <t>Annadurai</t>
  </si>
  <si>
    <t>01.03.2024</t>
  </si>
  <si>
    <t>-</t>
  </si>
  <si>
    <t>Jai Sankar</t>
  </si>
  <si>
    <t>09.12.2024</t>
  </si>
  <si>
    <t>Total Working  hours</t>
  </si>
  <si>
    <t>Average day worked in this date</t>
  </si>
  <si>
    <t>FORM XXVII        [See Rule 78 (1) (a)]  Register of Wages</t>
  </si>
  <si>
    <t>Name of the Establishment 
Principal Employer:</t>
  </si>
  <si>
    <r>
      <rPr>
        <b/>
        <sz val="22"/>
        <color theme="1"/>
        <rFont val="Arial Narrow"/>
        <family val="2"/>
      </rPr>
      <t>Name of the Work Locaiton where the work is carried out :</t>
    </r>
    <r>
      <rPr>
        <sz val="22"/>
        <color theme="1"/>
        <rFont val="Arial Narrow"/>
        <family val="2"/>
      </rPr>
      <t xml:space="preserve">
Bosch Global Software Technologies Private Limited
KGISL Infrastructure Private Limited - SEZ, Keeranatham Village, Saravanampatti, 
Coimbatore – 641035.</t>
    </r>
  </si>
  <si>
    <t>Name of the Contractor with address:</t>
  </si>
  <si>
    <t>Wage Period :  Monthly</t>
  </si>
  <si>
    <r>
      <rPr>
        <b/>
        <sz val="22"/>
        <color theme="1"/>
        <rFont val="Arial Narrow"/>
        <family val="2"/>
      </rPr>
      <t>Bosch Global Software Technologies Private Limited</t>
    </r>
    <r>
      <rPr>
        <sz val="22"/>
        <color theme="1"/>
        <rFont val="Arial Narrow"/>
        <family val="2"/>
      </rPr>
      <t xml:space="preserve">
KGISL Infrastructure Private Limited - SEZ, Keeranatham Village, Saravanampatti, 
Coimbatore – 641035.</t>
    </r>
    <r>
      <rPr>
        <b/>
        <sz val="22"/>
        <color theme="1"/>
        <rFont val="Arial Narrow"/>
        <family val="2"/>
      </rPr>
      <t xml:space="preserve">  </t>
    </r>
  </si>
  <si>
    <t>Name of the Sub - Contractor with address:</t>
  </si>
  <si>
    <t xml:space="preserve">WATER WORKS ENGINEERING 
#65-B, GURUSAMY NAGAR, THANNEERPANDAL, PEELAMEDU, 
COIMBATORE-641 004.   </t>
  </si>
  <si>
    <t>Serial Number</t>
  </si>
  <si>
    <t>Ecode</t>
  </si>
  <si>
    <t>Name of workman</t>
  </si>
  <si>
    <t>Sex</t>
  </si>
  <si>
    <t>Designation / Nature of Work</t>
  </si>
  <si>
    <t>Daily rated / Piece rated / Monthly rated</t>
  </si>
  <si>
    <t>Wage Period: Monthly</t>
  </si>
  <si>
    <t>Total number of days worked during the Month</t>
  </si>
  <si>
    <r>
      <rPr>
        <b/>
        <sz val="16"/>
        <rFont val="Arial Narrow"/>
        <family val="2"/>
      </rPr>
      <t xml:space="preserve">Daily rate of wages / </t>
    </r>
    <r>
      <rPr>
        <b/>
        <strike/>
        <sz val="16"/>
        <rFont val="Arial Narrow"/>
        <family val="2"/>
      </rPr>
      <t>piece rate</t>
    </r>
  </si>
  <si>
    <t>Overtime Hrs</t>
  </si>
  <si>
    <t>Over time Calculations</t>
  </si>
  <si>
    <t>Wages Per month declared for 26 days</t>
  </si>
  <si>
    <t>Wages Earned</t>
  </si>
  <si>
    <t>Gross Wages</t>
  </si>
  <si>
    <t>Deductions</t>
  </si>
  <si>
    <t>Signature with date or Thumb Impression/Cheque No. and Date in case of Payment through Bank/Advice of the Bank to be appended</t>
  </si>
  <si>
    <t>Total unpaid amounts accumulated</t>
  </si>
  <si>
    <t>Over time Per hour</t>
  </si>
  <si>
    <t>Over time Double Wages</t>
  </si>
  <si>
    <t>Basic Per month</t>
  </si>
  <si>
    <t>DA Per month</t>
  </si>
  <si>
    <t>HRA per month</t>
  </si>
  <si>
    <t>Med Allowances per month</t>
  </si>
  <si>
    <t>Conv. Allowances per month</t>
  </si>
  <si>
    <t>Basic Wages</t>
  </si>
  <si>
    <t>Dearness allowance</t>
  </si>
  <si>
    <t>HRA</t>
  </si>
  <si>
    <t>Medical  Allowance</t>
  </si>
  <si>
    <t>Conv. Allowance</t>
  </si>
  <si>
    <t>NFH Wages</t>
  </si>
  <si>
    <t>Overtime earned</t>
  </si>
  <si>
    <t>Leave wages including cash in lieu of kinds</t>
  </si>
  <si>
    <t>Bonus Earned</t>
  </si>
  <si>
    <t xml:space="preserve">Arrear </t>
  </si>
  <si>
    <t>Provident Fund</t>
  </si>
  <si>
    <t>ESI</t>
  </si>
  <si>
    <t>Other Deductions (LWF)
(indicate nature)</t>
  </si>
  <si>
    <t>Fines (if any)/P.TAX</t>
  </si>
  <si>
    <t>Total Deductions</t>
  </si>
  <si>
    <t>Net amount paid &amp; 
Take Home Salary</t>
  </si>
  <si>
    <t>Monthly</t>
  </si>
  <si>
    <t>Nil</t>
  </si>
  <si>
    <t>Total</t>
  </si>
  <si>
    <t>FORM NO.XXVIII</t>
  </si>
  <si>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 xml:space="preserve">See </t>
    </r>
    <r>
      <rPr>
        <sz val="10"/>
        <rFont val="Times New Roman"/>
        <family val="1"/>
      </rPr>
      <t>Rule 78 (1)(b) of Tamil Nadu Contract labour Act (Regulation and Abolition) Rules, 1975)</t>
    </r>
  </si>
  <si>
    <t>WAGE SLIP</t>
  </si>
  <si>
    <t>1. Name and Address of the Establishment:</t>
  </si>
  <si>
    <t xml:space="preserve">2. Name of Employee: </t>
  </si>
  <si>
    <t>Prakash</t>
  </si>
  <si>
    <t xml:space="preserve">3. Father's/Husband's Name: </t>
  </si>
  <si>
    <t xml:space="preserve">4. Designation: </t>
  </si>
  <si>
    <t>5. Date of Entry into Service:</t>
  </si>
  <si>
    <t>8.Wages Earned</t>
  </si>
  <si>
    <t>Particulars</t>
  </si>
  <si>
    <t>Rs.</t>
  </si>
  <si>
    <t>(a) Basic:</t>
  </si>
  <si>
    <t>Gross Wages:</t>
  </si>
  <si>
    <t>(b) D.A.:</t>
  </si>
  <si>
    <t>Deductions:</t>
  </si>
  <si>
    <t>(c) H.R.A:</t>
  </si>
  <si>
    <t>(i) E.P.F:</t>
  </si>
  <si>
    <t>(d) Conv. Allowances</t>
  </si>
  <si>
    <t>(ii) E.S.I:</t>
  </si>
  <si>
    <t>(e) Med. Allowances</t>
  </si>
  <si>
    <t>(iii) Prof. Tax</t>
  </si>
  <si>
    <t>(f) Others</t>
  </si>
  <si>
    <t>(iv) Advances</t>
  </si>
  <si>
    <t>(g) Others / Arrear / EL</t>
  </si>
  <si>
    <t>(v) damages:</t>
  </si>
  <si>
    <t>(h) National &amp; Festiaval Wages</t>
  </si>
  <si>
    <t>(vi) LWF</t>
  </si>
  <si>
    <t>(i) Over Time</t>
  </si>
  <si>
    <t xml:space="preserve">Total </t>
  </si>
  <si>
    <t xml:space="preserve"> Others</t>
  </si>
  <si>
    <t>(g) Gross Wages:</t>
  </si>
  <si>
    <t>Net Amount Paid</t>
  </si>
  <si>
    <t>Authorised Signatory</t>
  </si>
  <si>
    <t>Signature or Thumb Impression of Workmen</t>
  </si>
  <si>
    <t>Poovarasan</t>
  </si>
  <si>
    <t>Form No XXIX
[See Rule 78(1)(d)]</t>
  </si>
  <si>
    <t>REGISTER OF ADVANCES, DEDUCTIONS FOR DAMAGE OR LOSS AND FINES</t>
  </si>
  <si>
    <t>Name and address of the Establishment
Principal Employeer</t>
  </si>
  <si>
    <t xml:space="preserve">Bosch Global Software Technologies Private Limited
KGISL Infrastructure Private Limited - SEZ, Keeranatham Village, Saravanampatti, 
Coimbatore – 641035.   </t>
  </si>
  <si>
    <t>Name and Address of the Contractor</t>
  </si>
  <si>
    <t>Advance Paid</t>
  </si>
  <si>
    <t>Deductions for Damage / Loss</t>
  </si>
  <si>
    <t>Fines</t>
  </si>
  <si>
    <t>S.No</t>
  </si>
  <si>
    <t>Emp Code</t>
  </si>
  <si>
    <t>Name of the Workman</t>
  </si>
  <si>
    <t>Father's/Husband's Name</t>
  </si>
  <si>
    <t>Designation</t>
  </si>
  <si>
    <t>Date of Payment</t>
  </si>
  <si>
    <t>Amount Paid</t>
  </si>
  <si>
    <t>No.of.Installments to be recovered</t>
  </si>
  <si>
    <t>Date on which recovery completed</t>
  </si>
  <si>
    <t>Damage/Loss caused</t>
  </si>
  <si>
    <t>Date of Showcause Notice</t>
  </si>
  <si>
    <t>Total Amount of deduction Imposed</t>
  </si>
  <si>
    <t>No.of.Installments  to be recovered</t>
  </si>
  <si>
    <t>Date on which Deduction Completed</t>
  </si>
  <si>
    <t>Act or Omission</t>
  </si>
  <si>
    <t>Date of show Cause Notice</t>
  </si>
  <si>
    <t>Amount of Fine Imposed</t>
  </si>
  <si>
    <t>Date on which Fine recovery Completed</t>
  </si>
  <si>
    <t>Signature or Thumb Impression of the Workman</t>
  </si>
  <si>
    <t>Remarks</t>
  </si>
  <si>
    <t>(1)</t>
  </si>
  <si>
    <t>(2)</t>
  </si>
  <si>
    <t>(3)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</si>
  <si>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</si>
  <si>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</si>
  <si>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</si>
  <si>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</si>
  <si>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</si>
  <si>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</si>
  <si>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</si>
  <si>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</si>
  <si>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</si>
  <si>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</si>
  <si>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</si>
  <si>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</si>
  <si>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</si>
  <si>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</si>
  <si>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</si>
  <si>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</si>
  <si>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NIL</t>
  </si>
  <si>
    <r>
      <rPr>
        <b/>
        <sz val="14"/>
        <color theme="1"/>
        <rFont val="Times New Roman"/>
        <family val="1"/>
      </rPr>
      <t xml:space="preserve">FORM B
</t>
    </r>
    <r>
      <rPr>
        <b/>
        <sz val="12"/>
        <color theme="1"/>
        <rFont val="Times New Roman"/>
        <family val="1"/>
      </rPr>
      <t>(</t>
    </r>
    <r>
      <rPr>
        <b/>
        <i/>
        <sz val="12"/>
        <color theme="1"/>
        <rFont val="Times New Roman"/>
        <family val="1"/>
      </rPr>
      <t xml:space="preserve">See </t>
    </r>
    <r>
      <rPr>
        <b/>
        <sz val="12"/>
        <color theme="1"/>
        <rFont val="Times New Roman"/>
        <family val="1"/>
      </rPr>
      <t>Rule 29 of The Tamil Nadu Labour Welfare Fund Rules, 1973)</t>
    </r>
    <r>
      <rPr>
        <b/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REGISTER OF CONSOLIDATED WAGES</t>
    </r>
  </si>
  <si>
    <r>
      <rPr>
        <b/>
        <sz val="11"/>
        <color theme="1"/>
        <rFont val="Times New Roman"/>
        <family val="1"/>
      </rPr>
      <t xml:space="preserve">Name of the Establishment: </t>
    </r>
    <r>
      <rPr>
        <sz val="11"/>
        <color theme="1"/>
        <rFont val="Times New Roman"/>
        <family val="1"/>
      </rPr>
      <t xml:space="preserve"> Water Works Engineering
</t>
    </r>
  </si>
  <si>
    <t>Total Number of Employees</t>
  </si>
  <si>
    <t>Total Emoluments payable during the month including Baisc wages DA, OT, Bonus</t>
  </si>
  <si>
    <t>Amount Actually Paid during the month</t>
  </si>
  <si>
    <t>Balance Due to Employees</t>
  </si>
  <si>
    <t>EPF</t>
  </si>
  <si>
    <t>Advance or Fines</t>
  </si>
  <si>
    <t>Others(PT)</t>
  </si>
  <si>
    <t>LWF</t>
  </si>
  <si>
    <r>
      <rPr>
        <b/>
        <sz val="14"/>
        <color theme="1"/>
        <rFont val="Times New Roman"/>
        <family val="1"/>
      </rPr>
      <t>FORM D
[</t>
    </r>
    <r>
      <rPr>
        <b/>
        <sz val="12"/>
        <color theme="1"/>
        <rFont val="Times New Roman"/>
        <family val="1"/>
      </rPr>
      <t>Rule 6 of The Equal Renumeration Rules 1976 (25 of 1976)]</t>
    </r>
    <r>
      <rPr>
        <b/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BOOK OF EQUAL RENUMERATION</t>
    </r>
  </si>
  <si>
    <t xml:space="preserve">Name of the Establishment with full address:  
WATER WORKS ENGINEERING 
#65-B, GURUSAMY NAGAR, THANNEERPANDAL, PEELAMEDU, 
COIMBATORE-641 004. </t>
  </si>
  <si>
    <r>
      <rPr>
        <sz val="11"/>
        <color theme="1"/>
        <rFont val="Times New Roman"/>
        <family val="1"/>
      </rPr>
      <t>Total No. of</t>
    </r>
    <r>
      <rPr>
        <b/>
        <sz val="11"/>
        <color theme="1"/>
        <rFont val="Times New Roman"/>
        <family val="1"/>
      </rPr>
      <t xml:space="preserve"> Men</t>
    </r>
    <r>
      <rPr>
        <sz val="11"/>
        <color theme="1"/>
        <rFont val="Times New Roman"/>
        <family val="1"/>
      </rPr>
      <t xml:space="preserve"> Workers Employed</t>
    </r>
  </si>
  <si>
    <r>
      <rPr>
        <sz val="11"/>
        <color theme="1"/>
        <rFont val="Times New Roman"/>
        <family val="1"/>
      </rPr>
      <t xml:space="preserve">Total No. of </t>
    </r>
    <r>
      <rPr>
        <b/>
        <sz val="11"/>
        <color theme="1"/>
        <rFont val="Times New Roman"/>
        <family val="1"/>
      </rPr>
      <t xml:space="preserve">Women </t>
    </r>
    <r>
      <rPr>
        <sz val="11"/>
        <color theme="1"/>
        <rFont val="Times New Roman"/>
        <family val="1"/>
      </rPr>
      <t>Workers Employed</t>
    </r>
  </si>
  <si>
    <t>Total No. of Workers Employed</t>
  </si>
  <si>
    <r>
      <rPr>
        <b/>
        <sz val="11"/>
        <color theme="1"/>
        <rFont val="Times New Roman"/>
        <family val="1"/>
      </rPr>
      <t xml:space="preserve">Category of Workers
</t>
    </r>
    <r>
      <rPr>
        <sz val="11"/>
        <color theme="1"/>
        <rFont val="Times New Roman"/>
        <family val="1"/>
      </rPr>
      <t>(1)</t>
    </r>
  </si>
  <si>
    <r>
      <rPr>
        <b/>
        <sz val="11"/>
        <color theme="1"/>
        <rFont val="Times New Roman"/>
        <family val="1"/>
      </rPr>
      <t xml:space="preserve">Brief Description of Work
</t>
    </r>
    <r>
      <rPr>
        <sz val="11"/>
        <color theme="1"/>
        <rFont val="Times New Roman"/>
        <family val="1"/>
      </rPr>
      <t>(2)</t>
    </r>
  </si>
  <si>
    <t>Number of Employees</t>
  </si>
  <si>
    <r>
      <rPr>
        <b/>
        <sz val="11"/>
        <color theme="1"/>
        <rFont val="Times New Roman"/>
        <family val="1"/>
      </rPr>
      <t xml:space="preserve">Rate of Renumeration Paid
</t>
    </r>
    <r>
      <rPr>
        <sz val="11"/>
        <color theme="1"/>
        <rFont val="Times New Roman"/>
        <family val="1"/>
      </rPr>
      <t>(5)</t>
    </r>
  </si>
  <si>
    <t>Components of Renumeration</t>
  </si>
  <si>
    <r>
      <rPr>
        <b/>
        <sz val="11"/>
        <color theme="1"/>
        <rFont val="Times New Roman"/>
        <family val="1"/>
      </rPr>
      <t xml:space="preserve">Money value of concessional commodities
</t>
    </r>
    <r>
      <rPr>
        <sz val="11"/>
        <color theme="1"/>
        <rFont val="Times New Roman"/>
        <family val="1"/>
      </rPr>
      <t>(10)</t>
    </r>
  </si>
  <si>
    <r>
      <rPr>
        <b/>
        <sz val="11"/>
        <color theme="1"/>
        <rFont val="Times New Roman"/>
        <family val="1"/>
      </rPr>
      <t xml:space="preserve">Male
</t>
    </r>
    <r>
      <rPr>
        <sz val="11"/>
        <color theme="1"/>
        <rFont val="Times New Roman"/>
        <family val="1"/>
      </rPr>
      <t>(3)</t>
    </r>
  </si>
  <si>
    <r>
      <rPr>
        <b/>
        <sz val="11"/>
        <color theme="1"/>
        <rFont val="Times New Roman"/>
        <family val="1"/>
      </rPr>
      <t xml:space="preserve">Female
</t>
    </r>
    <r>
      <rPr>
        <sz val="11"/>
        <color theme="1"/>
        <rFont val="Times New Roman"/>
        <family val="1"/>
      </rPr>
      <t>(4)</t>
    </r>
  </si>
  <si>
    <r>
      <rPr>
        <b/>
        <sz val="11"/>
        <color theme="1"/>
        <rFont val="Times New Roman"/>
        <family val="1"/>
      </rPr>
      <t xml:space="preserve">Basic Wages or Salary
</t>
    </r>
    <r>
      <rPr>
        <sz val="11"/>
        <color theme="1"/>
        <rFont val="Times New Roman"/>
        <family val="1"/>
      </rPr>
      <t>(6)</t>
    </r>
  </si>
  <si>
    <r>
      <rPr>
        <b/>
        <sz val="11"/>
        <color theme="1"/>
        <rFont val="Times New Roman"/>
        <family val="1"/>
      </rPr>
      <t xml:space="preserve">Dearness Allowance
</t>
    </r>
    <r>
      <rPr>
        <sz val="11"/>
        <color theme="1"/>
        <rFont val="Times New Roman"/>
        <family val="1"/>
      </rPr>
      <t>(7)</t>
    </r>
  </si>
  <si>
    <r>
      <rPr>
        <b/>
        <sz val="11"/>
        <color theme="1"/>
        <rFont val="Times New Roman"/>
        <family val="1"/>
      </rPr>
      <t xml:space="preserve">House Rent Allowance
</t>
    </r>
    <r>
      <rPr>
        <sz val="11"/>
        <color theme="1"/>
        <rFont val="Times New Roman"/>
        <family val="1"/>
      </rPr>
      <t>(8)</t>
    </r>
  </si>
  <si>
    <r>
      <rPr>
        <b/>
        <sz val="11"/>
        <color theme="1"/>
        <rFont val="Times New Roman"/>
        <family val="1"/>
      </rPr>
      <t xml:space="preserve">Others
</t>
    </r>
    <r>
      <rPr>
        <sz val="11"/>
        <color theme="1"/>
        <rFont val="Times New Roman"/>
        <family val="1"/>
      </rPr>
      <t>(9)</t>
    </r>
  </si>
  <si>
    <t>Skilled</t>
  </si>
  <si>
    <t>STP -Operator</t>
  </si>
  <si>
    <t>Nill</t>
  </si>
  <si>
    <t>Semi Skilled</t>
  </si>
  <si>
    <t>FormNo.VI                                                                                                                                                                                                                                                                                                                                                                                                                                                                          (See sub-rule (1) of rule 7</t>
  </si>
  <si>
    <t>Name and address of the Contractor:</t>
  </si>
  <si>
    <t>Name and address of the Principal Employer 
Name and Location of the work site:</t>
  </si>
  <si>
    <t>Seril number</t>
  </si>
  <si>
    <t>Name of the Employe</t>
  </si>
  <si>
    <t>Ticket No or Father;s Name</t>
  </si>
  <si>
    <t>Date of Joining</t>
  </si>
  <si>
    <t>Days,dated and months of the year on which National and Festiival Holidays are allowed under section 3 of the Tamil Nadu Industrail establishment 
(National and Festival Holidays) Act,1958     (Tamil Nadu Act XXXIII of 1958)</t>
  </si>
  <si>
    <t>Remarks
/ Left Date</t>
  </si>
  <si>
    <t>Substitute Holiday</t>
  </si>
  <si>
    <t>H</t>
  </si>
  <si>
    <t>To be marked as follow:</t>
  </si>
  <si>
    <t>H' for holidays allowed</t>
  </si>
  <si>
    <t>W/D' for Work On Double Wages</t>
  </si>
  <si>
    <t>W/H' for Work with Substituted Holiday</t>
  </si>
  <si>
    <t>N/E' if not Eligible for the Wages</t>
  </si>
  <si>
    <r>
      <rPr>
        <b/>
        <sz val="14"/>
        <color theme="1"/>
        <rFont val="Times New Roman"/>
        <family val="1"/>
      </rPr>
      <t>The Tamilnadu Labour Welfare Fund Rules, 1973
FORM C
(See Rule 29)</t>
    </r>
    <r>
      <rPr>
        <b/>
        <sz val="11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 xml:space="preserve">REGISTER FOR FINES AND UNPAID ACCUMULATIONS </t>
    </r>
  </si>
  <si>
    <t xml:space="preserve">Name of the Establishment with full address:  
WATER WORKS ENGINEERING 
#65-B, GURUSAMY NAGAR, THANNEERPANDAL, PEELAMEDU, 
COIMBATORE-641 004. 
</t>
  </si>
  <si>
    <r>
      <rPr>
        <b/>
        <sz val="11"/>
        <color theme="1"/>
        <rFont val="Times New Roman"/>
        <family val="1"/>
      </rPr>
      <t xml:space="preserve">Details of fines and unpaid
accumulations
</t>
    </r>
    <r>
      <rPr>
        <sz val="11"/>
        <color theme="1"/>
        <rFont val="Times New Roman"/>
        <family val="1"/>
      </rPr>
      <t>(1)</t>
    </r>
  </si>
  <si>
    <r>
      <rPr>
        <b/>
        <sz val="11"/>
        <color theme="1"/>
        <rFont val="Times New Roman"/>
        <family val="1"/>
      </rPr>
      <t xml:space="preserve">Quarter Ending 31st Mar.
</t>
    </r>
    <r>
      <rPr>
        <sz val="11"/>
        <color theme="1"/>
        <rFont val="Times New Roman"/>
        <family val="1"/>
      </rPr>
      <t>(2)</t>
    </r>
  </si>
  <si>
    <r>
      <rPr>
        <b/>
        <sz val="11"/>
        <color theme="1"/>
        <rFont val="Times New Roman"/>
        <family val="1"/>
      </rPr>
      <t xml:space="preserve">Quarter Ending 30th Jun.
</t>
    </r>
    <r>
      <rPr>
        <sz val="11"/>
        <color theme="1"/>
        <rFont val="Times New Roman"/>
        <family val="1"/>
      </rPr>
      <t>(3)</t>
    </r>
  </si>
  <si>
    <r>
      <rPr>
        <b/>
        <sz val="11"/>
        <color theme="1"/>
        <rFont val="Times New Roman"/>
        <family val="1"/>
      </rPr>
      <t xml:space="preserve">Quarter Ending 30th Sep.
</t>
    </r>
    <r>
      <rPr>
        <sz val="11"/>
        <color theme="1"/>
        <rFont val="Times New Roman"/>
        <family val="1"/>
      </rPr>
      <t>(4)</t>
    </r>
  </si>
  <si>
    <r>
      <rPr>
        <b/>
        <sz val="11"/>
        <color theme="1"/>
        <rFont val="Times New Roman"/>
        <family val="1"/>
      </rPr>
      <t xml:space="preserve">Quarter Ending 31st Dec.
</t>
    </r>
    <r>
      <rPr>
        <sz val="11"/>
        <color theme="1"/>
        <rFont val="Times New Roman"/>
        <family val="1"/>
      </rPr>
      <t>(5)</t>
    </r>
  </si>
  <si>
    <t>1. Total Realisations under fines</t>
  </si>
  <si>
    <t>2. Total amount of accumulations being unpaid</t>
  </si>
  <si>
    <t xml:space="preserve">    i) Basic Wages</t>
  </si>
  <si>
    <t xml:space="preserve">    ii) Dearness allowance and other allowances</t>
  </si>
  <si>
    <t xml:space="preserve">    iii) Overtime</t>
  </si>
  <si>
    <t xml:space="preserve">    iv) Bonus</t>
  </si>
  <si>
    <t xml:space="preserve">    v) Gratuity</t>
  </si>
  <si>
    <t xml:space="preserve">    vi) Any other item of unpaid accumulations</t>
  </si>
  <si>
    <t>3. Deductions under standing orders</t>
  </si>
  <si>
    <t>4. Deductions under Payment of Wages Act</t>
  </si>
  <si>
    <t xml:space="preserve">National &amp; Festival Holidays : 
</t>
  </si>
  <si>
    <t xml:space="preserve"> </t>
  </si>
  <si>
    <t>C-0069</t>
  </si>
  <si>
    <t>Register of National and Festival Holidays - 2026</t>
  </si>
  <si>
    <t>01.01.2026
New Year</t>
  </si>
  <si>
    <t>26.01.2025</t>
  </si>
  <si>
    <t>15.01.2026
Pongal</t>
  </si>
  <si>
    <t>Register for fines and unpaid accumulations for the Year: 2026</t>
  </si>
  <si>
    <t>C-0076</t>
  </si>
  <si>
    <t>VIGNESH</t>
  </si>
  <si>
    <t>VIGNESH SELVAM</t>
  </si>
  <si>
    <t>Selvam</t>
  </si>
  <si>
    <t>SELVAM</t>
  </si>
  <si>
    <t>04.02.2026</t>
  </si>
  <si>
    <t>Month: Mar 2026</t>
  </si>
  <si>
    <t xml:space="preserve">  Certified that the above said employees timings were captured as per the Gate Entry of their physical presence to the Principal Employer Premises for the month of Apr 2026</t>
  </si>
  <si>
    <t>ESIC &amp; EPF Remittance Supportive for the month ofApr 2026</t>
  </si>
  <si>
    <t>Year : 
April 2026</t>
  </si>
  <si>
    <t>Certified that the wages have been paid to all the workers employed for the month of Mar 2026  for the week ending / for the F.N ending on 30-04-2026</t>
  </si>
  <si>
    <t>C-0077</t>
  </si>
  <si>
    <t>C-0078</t>
  </si>
  <si>
    <t>C-0079</t>
  </si>
  <si>
    <t>Date of ESIC remitted       : 15-05-2026</t>
  </si>
  <si>
    <t>G.ELANCHZHIYAN</t>
  </si>
  <si>
    <t>Date: 05.05.2026</t>
  </si>
  <si>
    <t>6. Wage Period: 01.04.2026 to 30.04.2026</t>
  </si>
  <si>
    <t>April</t>
  </si>
  <si>
    <t>G.Anishkumar</t>
  </si>
  <si>
    <t>Vikram</t>
  </si>
  <si>
    <t>Left</t>
  </si>
  <si>
    <t>Ganesan</t>
  </si>
  <si>
    <t>Gurumoorthy</t>
  </si>
  <si>
    <t xml:space="preserve">Actual Hours worked, </t>
  </si>
  <si>
    <t xml:space="preserve">OT Hours </t>
  </si>
  <si>
    <t>CBRE Inc,Building, G/F, Press Trust Of India, 4, Sansad Marg, Sansad Marg Area, New Delhi, Delhi 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</si>
</sst>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_);\(0\)"/>
    <numFmt numFmtId="167" formatCode="_(* #,##0_);_(* \(#,##0\);_(* &quot;-&quot;??_);_(@_)"/>
    <numFmt numFmtId="168" formatCode="_(* #,##0.0_);_(* \(#,##0.0\);_(* &quot;-&quot;??_);_(@_)"/>
    <numFmt numFmtId="169" formatCode="mmmm\ /\ yyyy"/>
    <numFmt numFmtId="170" formatCode="_(* #,##0.0_);_(* \(#,##0.0\);_(* &quot;-&quot;?_);_(@_)"/>
    <numFmt numFmtId="171" formatCode="[h]:mm"/>
    <numFmt numFmtId="172" formatCode="h:mm;@"/>
  </numFmts>
  <fonts count="106">
    <font>
      <sz val="11"/>
      <color theme="1"/>
      <name val="Times New Roman"/>
      <charset val="13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Arial Narrow"/>
      <family val="2"/>
    </font>
    <font>
      <sz val="11"/>
      <color theme="1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5"/>
      <name val="Times New Roman"/>
      <family val="1"/>
    </font>
    <font>
      <sz val="8"/>
      <name val="Times New Roman"/>
      <family val="1"/>
    </font>
    <font>
      <sz val="12"/>
      <color indexed="8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1"/>
      <name val="Times New Roman"/>
      <family val="1"/>
    </font>
    <font>
      <b/>
      <sz val="10.5"/>
      <name val="Times New Roman"/>
      <family val="1"/>
    </font>
    <font>
      <i/>
      <sz val="10"/>
      <name val="Times New Roman"/>
      <family val="1"/>
    </font>
    <font>
      <sz val="1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26"/>
      <name val="Times New Roman"/>
      <family val="1"/>
    </font>
    <font>
      <b/>
      <sz val="26"/>
      <name val="Arial Narrow"/>
      <family val="2"/>
    </font>
    <font>
      <sz val="22"/>
      <color theme="1"/>
      <name val="Arial Narrow"/>
      <family val="2"/>
    </font>
    <font>
      <b/>
      <sz val="22"/>
      <color theme="1"/>
      <name val="Arial Narrow"/>
      <family val="2"/>
    </font>
    <font>
      <b/>
      <sz val="15"/>
      <name val="Arial Narrow"/>
      <family val="2"/>
    </font>
    <font>
      <b/>
      <sz val="16"/>
      <name val="Arial Narrow"/>
      <family val="2"/>
    </font>
    <font>
      <sz val="15"/>
      <name val="Calibri"/>
      <family val="2"/>
      <scheme val="minor"/>
    </font>
    <font>
      <b/>
      <sz val="13"/>
      <color theme="1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sz val="13"/>
      <color theme="1"/>
      <name val="Arial Narrow"/>
      <family val="2"/>
    </font>
    <font>
      <sz val="10"/>
      <color theme="1"/>
      <name val="Times New Roman"/>
      <family val="1"/>
    </font>
    <font>
      <b/>
      <sz val="14"/>
      <color theme="1"/>
      <name val="Bosch Office Sans"/>
    </font>
    <font>
      <b/>
      <sz val="20"/>
      <name val="Times New Roman"/>
      <family val="1"/>
    </font>
    <font>
      <b/>
      <sz val="20"/>
      <name val="Arial Narrow"/>
      <family val="2"/>
    </font>
    <font>
      <sz val="14"/>
      <name val="Arial Narrow"/>
      <family val="2"/>
    </font>
    <font>
      <b/>
      <sz val="15"/>
      <name val="Calibri"/>
      <family val="2"/>
      <scheme val="minor"/>
    </font>
    <font>
      <b/>
      <sz val="22"/>
      <name val="Arial Narrow"/>
      <family val="2"/>
    </font>
    <font>
      <b/>
      <sz val="18"/>
      <name val="Arial Narrow"/>
      <family val="2"/>
    </font>
    <font>
      <sz val="13"/>
      <name val="Times New Roman"/>
      <family val="1"/>
    </font>
    <font>
      <b/>
      <sz val="14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Bosch Office Sans"/>
    </font>
    <font>
      <b/>
      <sz val="11"/>
      <color theme="1"/>
      <name val="Times New Roman"/>
      <family val="1"/>
    </font>
    <font>
      <b/>
      <sz val="12"/>
      <name val="Bosch Office Sans"/>
    </font>
    <font>
      <b/>
      <sz val="14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24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24"/>
      <name val="Arial Narrow"/>
      <family val="2"/>
    </font>
    <font>
      <b/>
      <sz val="24"/>
      <color theme="1"/>
      <name val="Arial Narrow"/>
      <family val="2"/>
    </font>
    <font>
      <sz val="28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trike/>
      <sz val="16"/>
      <name val="Arial Narrow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26"/>
      <color theme="1"/>
      <name val="Arial Narrow"/>
      <family val="2"/>
    </font>
    <font>
      <b/>
      <sz val="26"/>
      <name val="Arial Narrow"/>
      <family val="2"/>
    </font>
    <font>
      <b/>
      <sz val="22"/>
      <name val="Arial Narrow"/>
      <family val="2"/>
    </font>
    <font>
      <b/>
      <sz val="14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name val="Calibri"/>
      <family val="2"/>
      <scheme val="minor"/>
    </font>
    <font>
      <b/>
      <sz val="2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Times New Roman"/>
      <family val="1"/>
    </font>
    <font>
      <sz val="12"/>
      <color indexed="8"/>
      <name val="Calibri"/>
      <family val="2"/>
    </font>
    <font>
      <sz val="11"/>
      <color theme="1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26"/>
      <name val="Arial Narrow"/>
      <family val="2"/>
    </font>
    <font>
      <b/>
      <sz val="10"/>
      <name val="Arial"/>
      <family val="2"/>
    </font>
    <font>
      <sz val="12"/>
      <color theme="1"/>
      <name val="Arial Narrow"/>
      <family val="2"/>
    </font>
    <font>
      <b/>
      <sz val="24"/>
      <color theme="1"/>
      <name val="Arial Narrow"/>
      <family val="2"/>
    </font>
    <font>
      <b/>
      <sz val="16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28"/>
      <color theme="1"/>
      <name val="Arial Narrow"/>
      <family val="2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1">
    <xf numFmtId="0" fontId="0" fillId="0" borderId="0"/>
    <xf numFmtId="164" fontId="1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69" fillId="0" borderId="0"/>
    <xf numFmtId="0" fontId="14" fillId="0" borderId="0"/>
    <xf numFmtId="0" fontId="69" fillId="0" borderId="0"/>
    <xf numFmtId="0" fontId="69" fillId="0" borderId="0"/>
    <xf numFmtId="0" fontId="74" fillId="0" borderId="0"/>
    <xf numFmtId="0" fontId="75" fillId="0" borderId="0"/>
    <xf numFmtId="0" fontId="14" fillId="0" borderId="0"/>
    <xf numFmtId="0" fontId="75" fillId="0" borderId="0"/>
    <xf numFmtId="0" fontId="6" fillId="0" borderId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90" fillId="0" borderId="0"/>
    <xf numFmtId="0" fontId="103" fillId="0" borderId="0"/>
    <xf numFmtId="0" fontId="102" fillId="0" borderId="0"/>
    <xf numFmtId="0" fontId="103" fillId="0" borderId="0"/>
    <xf numFmtId="0" fontId="99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/>
    <xf numFmtId="1" fontId="7" fillId="2" borderId="6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1" xfId="0" applyBorder="1"/>
    <xf numFmtId="0" fontId="12" fillId="0" borderId="0" xfId="4" applyFont="1" applyAlignment="1">
      <alignment horizontal="center" textRotation="90"/>
    </xf>
    <xf numFmtId="0" fontId="13" fillId="0" borderId="0" xfId="4" applyFont="1"/>
    <xf numFmtId="0" fontId="12" fillId="0" borderId="1" xfId="4" applyFont="1" applyBorder="1" applyAlignment="1">
      <alignment horizontal="center" vertical="center" textRotation="90"/>
    </xf>
    <xf numFmtId="0" fontId="12" fillId="0" borderId="12" xfId="4" applyFont="1" applyBorder="1" applyAlignment="1">
      <alignment horizontal="center" vertical="center" textRotation="90" wrapText="1"/>
    </xf>
    <xf numFmtId="0" fontId="12" fillId="0" borderId="1" xfId="4" applyFont="1" applyBorder="1" applyAlignment="1">
      <alignment horizontal="center" vertical="center" textRotation="90"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16" fillId="0" borderId="1" xfId="9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3" borderId="0" xfId="4" applyFont="1" applyFill="1" applyAlignment="1">
      <alignment vertical="center"/>
    </xf>
    <xf numFmtId="0" fontId="8" fillId="3" borderId="1" xfId="4" applyFont="1" applyFill="1" applyBorder="1" applyAlignment="1">
      <alignment vertical="center"/>
    </xf>
    <xf numFmtId="0" fontId="8" fillId="0" borderId="12" xfId="4" applyFont="1" applyBorder="1" applyAlignment="1">
      <alignment vertical="center" wrapText="1"/>
    </xf>
    <xf numFmtId="0" fontId="17" fillId="0" borderId="1" xfId="4" applyFont="1" applyBorder="1"/>
    <xf numFmtId="0" fontId="13" fillId="0" borderId="1" xfId="4" applyFont="1" applyBorder="1"/>
    <xf numFmtId="0" fontId="14" fillId="0" borderId="0" xfId="4" applyAlignment="1">
      <alignment vertical="center"/>
    </xf>
    <xf numFmtId="0" fontId="18" fillId="0" borderId="0" xfId="4" applyFont="1" applyAlignment="1">
      <alignment horizontal="center" vertical="center"/>
    </xf>
    <xf numFmtId="0" fontId="18" fillId="0" borderId="0" xfId="4" applyFont="1" applyAlignment="1">
      <alignment vertical="center"/>
    </xf>
    <xf numFmtId="0" fontId="21" fillId="0" borderId="13" xfId="4" applyFont="1" applyBorder="1" applyAlignment="1">
      <alignment vertical="center"/>
    </xf>
    <xf numFmtId="0" fontId="21" fillId="0" borderId="0" xfId="4" applyFont="1" applyAlignment="1">
      <alignment vertical="center"/>
    </xf>
    <xf numFmtId="0" fontId="20" fillId="0" borderId="8" xfId="4" applyFont="1" applyBorder="1" applyAlignment="1">
      <alignment vertical="center"/>
    </xf>
    <xf numFmtId="0" fontId="18" fillId="0" borderId="13" xfId="4" applyFont="1" applyBorder="1" applyAlignment="1">
      <alignment vertical="center"/>
    </xf>
    <xf numFmtId="0" fontId="21" fillId="0" borderId="8" xfId="4" applyFont="1" applyBorder="1" applyAlignment="1">
      <alignment horizontal="left" vertical="center"/>
    </xf>
    <xf numFmtId="0" fontId="18" fillId="0" borderId="8" xfId="4" applyFont="1" applyBorder="1" applyAlignment="1">
      <alignment vertical="center"/>
    </xf>
    <xf numFmtId="0" fontId="20" fillId="0" borderId="13" xfId="4" applyFont="1" applyBorder="1" applyAlignment="1">
      <alignment vertical="center"/>
    </xf>
    <xf numFmtId="0" fontId="21" fillId="0" borderId="0" xfId="4" applyFont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20" fillId="0" borderId="13" xfId="4" applyFont="1" applyBorder="1" applyAlignment="1">
      <alignment horizontal="left" vertical="center"/>
    </xf>
    <xf numFmtId="0" fontId="20" fillId="0" borderId="0" xfId="4" applyFont="1" applyAlignment="1">
      <alignment horizontal="left" vertical="center"/>
    </xf>
    <xf numFmtId="0" fontId="24" fillId="0" borderId="0" xfId="0" applyFont="1" applyAlignment="1">
      <alignment vertical="center"/>
    </xf>
    <xf numFmtId="0" fontId="20" fillId="0" borderId="8" xfId="4" applyFont="1" applyBorder="1" applyAlignment="1">
      <alignment horizontal="left" vertical="center"/>
    </xf>
    <xf numFmtId="0" fontId="20" fillId="0" borderId="0" xfId="4" applyFont="1" applyAlignment="1">
      <alignment vertical="center"/>
    </xf>
    <xf numFmtId="14" fontId="20" fillId="0" borderId="0" xfId="4" applyNumberFormat="1" applyFont="1" applyAlignment="1">
      <alignment horizontal="left" vertical="center"/>
    </xf>
    <xf numFmtId="165" fontId="20" fillId="0" borderId="8" xfId="4" applyNumberFormat="1" applyFont="1" applyBorder="1" applyAlignment="1">
      <alignment horizontal="left" vertical="center"/>
    </xf>
    <xf numFmtId="0" fontId="21" fillId="0" borderId="6" xfId="4" applyFont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5" fillId="0" borderId="1" xfId="4" applyFont="1" applyBorder="1" applyAlignment="1">
      <alignment horizontal="left" vertical="center"/>
    </xf>
    <xf numFmtId="1" fontId="25" fillId="0" borderId="1" xfId="4" applyNumberFormat="1" applyFont="1" applyBorder="1" applyAlignment="1">
      <alignment horizontal="right" vertical="center"/>
    </xf>
    <xf numFmtId="0" fontId="26" fillId="0" borderId="0" xfId="4" applyFont="1" applyAlignment="1">
      <alignment vertical="center"/>
    </xf>
    <xf numFmtId="0" fontId="25" fillId="0" borderId="1" xfId="4" applyFont="1" applyBorder="1" applyAlignment="1">
      <alignment horizontal="right" vertical="center"/>
    </xf>
    <xf numFmtId="2" fontId="26" fillId="0" borderId="1" xfId="4" applyNumberFormat="1" applyFont="1" applyBorder="1" applyAlignment="1">
      <alignment horizontal="right" vertical="center"/>
    </xf>
    <xf numFmtId="1" fontId="26" fillId="0" borderId="1" xfId="4" applyNumberFormat="1" applyFont="1" applyBorder="1" applyAlignment="1">
      <alignment horizontal="right" vertical="center"/>
    </xf>
    <xf numFmtId="0" fontId="26" fillId="0" borderId="1" xfId="4" applyFont="1" applyBorder="1" applyAlignment="1">
      <alignment horizontal="right" vertical="center"/>
    </xf>
    <xf numFmtId="0" fontId="26" fillId="0" borderId="1" xfId="4" applyFont="1" applyBorder="1" applyAlignment="1">
      <alignment horizontal="center" vertical="center"/>
    </xf>
    <xf numFmtId="2" fontId="25" fillId="0" borderId="1" xfId="4" applyNumberFormat="1" applyFont="1" applyBorder="1" applyAlignment="1">
      <alignment horizontal="center" vertical="center"/>
    </xf>
    <xf numFmtId="0" fontId="25" fillId="0" borderId="10" xfId="4" applyFont="1" applyBorder="1" applyAlignment="1">
      <alignment horizontal="left" vertical="center"/>
    </xf>
    <xf numFmtId="0" fontId="25" fillId="0" borderId="12" xfId="4" applyFont="1" applyBorder="1" applyAlignment="1">
      <alignment horizontal="left" vertical="center"/>
    </xf>
    <xf numFmtId="2" fontId="25" fillId="0" borderId="1" xfId="4" applyNumberFormat="1" applyFont="1" applyBorder="1" applyAlignment="1">
      <alignment horizontal="right" vertical="center"/>
    </xf>
    <xf numFmtId="0" fontId="25" fillId="0" borderId="1" xfId="4" applyFont="1" applyBorder="1" applyAlignment="1">
      <alignment vertical="center"/>
    </xf>
    <xf numFmtId="2" fontId="25" fillId="0" borderId="1" xfId="4" applyNumberFormat="1" applyFont="1" applyBorder="1" applyAlignment="1">
      <alignment horizontal="left" vertical="center"/>
    </xf>
    <xf numFmtId="2" fontId="26" fillId="0" borderId="1" xfId="4" applyNumberFormat="1" applyFont="1" applyBorder="1" applyAlignment="1">
      <alignment horizontal="center" vertical="center"/>
    </xf>
    <xf numFmtId="0" fontId="14" fillId="0" borderId="13" xfId="4" applyBorder="1" applyAlignment="1">
      <alignment vertical="center"/>
    </xf>
    <xf numFmtId="0" fontId="14" fillId="0" borderId="8" xfId="4" applyBorder="1" applyAlignment="1">
      <alignment vertical="center"/>
    </xf>
    <xf numFmtId="0" fontId="27" fillId="0" borderId="14" xfId="4" applyFont="1" applyBorder="1" applyAlignment="1">
      <alignment vertical="center"/>
    </xf>
    <xf numFmtId="0" fontId="27" fillId="0" borderId="9" xfId="4" applyFont="1" applyBorder="1" applyAlignment="1">
      <alignment vertical="center"/>
    </xf>
    <xf numFmtId="0" fontId="27" fillId="0" borderId="15" xfId="4" applyFont="1" applyBorder="1" applyAlignment="1">
      <alignment vertical="center"/>
    </xf>
    <xf numFmtId="0" fontId="19" fillId="0" borderId="0" xfId="4" applyFont="1" applyAlignment="1">
      <alignment horizontal="center" vertical="center"/>
    </xf>
    <xf numFmtId="0" fontId="28" fillId="0" borderId="0" xfId="4" applyFont="1" applyAlignment="1">
      <alignment vertical="center"/>
    </xf>
    <xf numFmtId="1" fontId="25" fillId="0" borderId="1" xfId="4" applyNumberFormat="1" applyFont="1" applyBorder="1" applyAlignment="1">
      <alignment vertical="center"/>
    </xf>
    <xf numFmtId="1" fontId="25" fillId="0" borderId="1" xfId="4" applyNumberFormat="1" applyFont="1" applyBorder="1" applyAlignment="1">
      <alignment horizontal="center" vertical="center"/>
    </xf>
    <xf numFmtId="0" fontId="29" fillId="0" borderId="0" xfId="4" applyFont="1" applyAlignment="1">
      <alignment vertical="center"/>
    </xf>
    <xf numFmtId="0" fontId="25" fillId="0" borderId="0" xfId="4" applyFont="1" applyAlignment="1">
      <alignment horizontal="left" vertical="center"/>
    </xf>
    <xf numFmtId="0" fontId="29" fillId="0" borderId="0" xfId="4" applyFont="1" applyAlignment="1">
      <alignment horizontal="center" vertical="center"/>
    </xf>
    <xf numFmtId="2" fontId="21" fillId="0" borderId="0" xfId="4" applyNumberFormat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0" fillId="0" borderId="0" xfId="4" applyFont="1" applyAlignment="1">
      <alignment horizontal="right" vertical="center"/>
    </xf>
    <xf numFmtId="2" fontId="21" fillId="0" borderId="0" xfId="4" applyNumberFormat="1" applyFont="1" applyAlignment="1">
      <alignment horizontal="center" vertical="center"/>
    </xf>
    <xf numFmtId="0" fontId="30" fillId="0" borderId="0" xfId="4" applyFont="1" applyAlignment="1">
      <alignment vertical="center"/>
    </xf>
    <xf numFmtId="1" fontId="25" fillId="0" borderId="1" xfId="4" applyNumberFormat="1" applyFont="1" applyBorder="1" applyAlignment="1">
      <alignment horizontal="left" vertical="center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166" fontId="32" fillId="0" borderId="0" xfId="0" applyNumberFormat="1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9" fillId="0" borderId="1" xfId="0" applyFont="1" applyBorder="1" applyAlignment="1">
      <alignment horizontal="center" vertical="center" textRotation="90" wrapText="1"/>
    </xf>
    <xf numFmtId="166" fontId="4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41" fillId="0" borderId="1" xfId="6" applyFont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167" fontId="43" fillId="2" borderId="1" xfId="0" applyNumberFormat="1" applyFont="1" applyFill="1" applyBorder="1" applyAlignment="1">
      <alignment horizontal="center" vertical="center" wrapText="1"/>
    </xf>
    <xf numFmtId="17" fontId="43" fillId="2" borderId="1" xfId="0" applyNumberFormat="1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 wrapText="1"/>
    </xf>
    <xf numFmtId="0" fontId="45" fillId="0" borderId="1" xfId="6" applyFont="1" applyBorder="1" applyAlignment="1">
      <alignment horizontal="center"/>
    </xf>
    <xf numFmtId="0" fontId="0" fillId="2" borderId="1" xfId="0" applyFill="1" applyBorder="1"/>
    <xf numFmtId="0" fontId="40" fillId="2" borderId="1" xfId="0" applyFont="1" applyFill="1" applyBorder="1" applyAlignment="1">
      <alignment horizontal="center" wrapText="1"/>
    </xf>
    <xf numFmtId="0" fontId="46" fillId="4" borderId="1" xfId="0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 vertical="center" textRotation="90" wrapText="1"/>
    </xf>
    <xf numFmtId="168" fontId="43" fillId="2" borderId="1" xfId="0" applyNumberFormat="1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/>
    </xf>
    <xf numFmtId="165" fontId="31" fillId="2" borderId="1" xfId="0" applyNumberFormat="1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top" wrapText="1"/>
    </xf>
    <xf numFmtId="0" fontId="37" fillId="0" borderId="9" xfId="0" applyFont="1" applyBorder="1" applyAlignment="1">
      <alignment horizontal="left" vertical="top" wrapText="1"/>
    </xf>
    <xf numFmtId="1" fontId="49" fillId="2" borderId="1" xfId="0" applyNumberFormat="1" applyFont="1" applyFill="1" applyBorder="1" applyAlignment="1">
      <alignment horizontal="center" vertical="center"/>
    </xf>
    <xf numFmtId="2" fontId="49" fillId="2" borderId="1" xfId="1" applyNumberFormat="1" applyFont="1" applyFill="1" applyBorder="1" applyAlignment="1">
      <alignment vertical="center"/>
    </xf>
    <xf numFmtId="2" fontId="49" fillId="2" borderId="1" xfId="0" applyNumberFormat="1" applyFont="1" applyFill="1" applyBorder="1" applyAlignment="1">
      <alignment horizontal="center" vertical="center"/>
    </xf>
    <xf numFmtId="167" fontId="17" fillId="2" borderId="1" xfId="1" applyNumberFormat="1" applyFont="1" applyFill="1" applyBorder="1" applyAlignment="1">
      <alignment vertical="center"/>
    </xf>
    <xf numFmtId="167" fontId="49" fillId="2" borderId="1" xfId="1" applyNumberFormat="1" applyFont="1" applyFill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" fontId="50" fillId="0" borderId="1" xfId="0" applyNumberFormat="1" applyFont="1" applyBorder="1" applyAlignment="1">
      <alignment horizontal="center" vertical="center"/>
    </xf>
    <xf numFmtId="2" fontId="32" fillId="0" borderId="0" xfId="0" applyNumberFormat="1" applyFont="1" applyAlignment="1">
      <alignment vertical="center" wrapText="1"/>
    </xf>
    <xf numFmtId="1" fontId="32" fillId="0" borderId="0" xfId="0" applyNumberFormat="1" applyFont="1" applyAlignment="1">
      <alignment vertical="center" wrapText="1"/>
    </xf>
    <xf numFmtId="170" fontId="40" fillId="2" borderId="1" xfId="0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 wrapText="1"/>
    </xf>
    <xf numFmtId="167" fontId="40" fillId="2" borderId="1" xfId="1" applyNumberFormat="1" applyFont="1" applyFill="1" applyBorder="1" applyAlignment="1">
      <alignment horizontal="center" vertical="center"/>
    </xf>
    <xf numFmtId="167" fontId="40" fillId="2" borderId="1" xfId="0" applyNumberFormat="1" applyFont="1" applyFill="1" applyBorder="1" applyAlignment="1">
      <alignment horizontal="center" vertical="center"/>
    </xf>
    <xf numFmtId="167" fontId="32" fillId="0" borderId="0" xfId="0" applyNumberFormat="1" applyFont="1" applyAlignment="1">
      <alignment vertical="center" wrapText="1"/>
    </xf>
    <xf numFmtId="0" fontId="51" fillId="0" borderId="12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69" fontId="52" fillId="0" borderId="1" xfId="0" applyNumberFormat="1" applyFont="1" applyBorder="1" applyAlignment="1">
      <alignment horizontal="center" vertical="center" wrapText="1"/>
    </xf>
    <xf numFmtId="1" fontId="40" fillId="2" borderId="1" xfId="0" applyNumberFormat="1" applyFont="1" applyFill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center"/>
    </xf>
    <xf numFmtId="0" fontId="32" fillId="0" borderId="0" xfId="4" applyFont="1" applyAlignment="1">
      <alignment horizontal="center" vertical="center" wrapText="1"/>
    </xf>
    <xf numFmtId="0" fontId="53" fillId="0" borderId="0" xfId="4" applyFont="1" applyAlignment="1">
      <alignment vertical="center" wrapText="1"/>
    </xf>
    <xf numFmtId="0" fontId="32" fillId="0" borderId="0" xfId="4" applyFont="1" applyAlignment="1">
      <alignment vertical="center" wrapText="1"/>
    </xf>
    <xf numFmtId="0" fontId="32" fillId="0" borderId="1" xfId="4" applyFont="1" applyBorder="1" applyAlignment="1">
      <alignment horizontal="center" vertical="center" wrapText="1"/>
    </xf>
    <xf numFmtId="166" fontId="32" fillId="0" borderId="1" xfId="4" applyNumberFormat="1" applyFont="1" applyBorder="1" applyAlignment="1">
      <alignment horizontal="center" vertical="center" wrapText="1"/>
    </xf>
    <xf numFmtId="166" fontId="32" fillId="0" borderId="1" xfId="4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vertical="center"/>
    </xf>
    <xf numFmtId="0" fontId="9" fillId="0" borderId="6" xfId="0" applyFont="1" applyBorder="1" applyAlignment="1">
      <alignment horizontal="left" vertical="top" wrapText="1"/>
    </xf>
    <xf numFmtId="14" fontId="57" fillId="0" borderId="1" xfId="0" applyNumberFormat="1" applyFont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58" fillId="4" borderId="1" xfId="0" applyFont="1" applyFill="1" applyBorder="1" applyAlignment="1">
      <alignment horizontal="center" vertical="center" wrapText="1"/>
    </xf>
    <xf numFmtId="0" fontId="59" fillId="0" borderId="11" xfId="4" applyFont="1" applyBorder="1" applyAlignment="1">
      <alignment horizontal="left" vertical="center" wrapText="1"/>
    </xf>
    <xf numFmtId="0" fontId="46" fillId="4" borderId="1" xfId="0" applyFont="1" applyFill="1" applyBorder="1" applyAlignment="1">
      <alignment horizontal="center" vertical="center"/>
    </xf>
    <xf numFmtId="0" fontId="59" fillId="0" borderId="11" xfId="4" applyFont="1" applyBorder="1" applyAlignment="1">
      <alignment vertical="center" wrapText="1"/>
    </xf>
    <xf numFmtId="0" fontId="60" fillId="0" borderId="11" xfId="4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3" fillId="0" borderId="1" xfId="4" applyFont="1" applyBorder="1" applyAlignment="1">
      <alignment horizontal="center" vertical="center" wrapText="1"/>
    </xf>
    <xf numFmtId="165" fontId="32" fillId="0" borderId="1" xfId="4" applyNumberFormat="1" applyFont="1" applyBorder="1" applyAlignment="1">
      <alignment horizontal="center" vertical="center" wrapText="1"/>
    </xf>
    <xf numFmtId="165" fontId="32" fillId="0" borderId="1" xfId="4" applyNumberFormat="1" applyFont="1" applyBorder="1" applyAlignment="1">
      <alignment vertical="center" wrapText="1"/>
    </xf>
    <xf numFmtId="0" fontId="62" fillId="2" borderId="0" xfId="13" applyFont="1" applyFill="1" applyAlignment="1">
      <alignment vertical="center"/>
    </xf>
    <xf numFmtId="0" fontId="62" fillId="2" borderId="0" xfId="13" applyFont="1" applyFill="1" applyAlignment="1">
      <alignment horizontal="left" vertical="center"/>
    </xf>
    <xf numFmtId="0" fontId="62" fillId="2" borderId="0" xfId="13" applyFont="1" applyFill="1" applyAlignment="1">
      <alignment horizontal="center" vertical="center"/>
    </xf>
    <xf numFmtId="0" fontId="63" fillId="2" borderId="0" xfId="13" applyFont="1" applyFill="1" applyAlignment="1">
      <alignment horizontal="left" vertical="center"/>
    </xf>
    <xf numFmtId="0" fontId="63" fillId="2" borderId="0" xfId="13" applyFont="1" applyFill="1" applyAlignment="1">
      <alignment horizontal="left" vertical="center" wrapText="1"/>
    </xf>
    <xf numFmtId="15" fontId="62" fillId="2" borderId="0" xfId="13" applyNumberFormat="1" applyFont="1" applyFill="1" applyAlignment="1">
      <alignment horizontal="center" vertical="center"/>
    </xf>
    <xf numFmtId="0" fontId="62" fillId="2" borderId="16" xfId="13" applyFont="1" applyFill="1" applyBorder="1" applyAlignment="1">
      <alignment vertical="center"/>
    </xf>
    <xf numFmtId="0" fontId="63" fillId="2" borderId="17" xfId="13" applyFont="1" applyFill="1" applyBorder="1" applyAlignment="1">
      <alignment horizontal="left" vertical="center"/>
    </xf>
    <xf numFmtId="0" fontId="64" fillId="2" borderId="22" xfId="13" applyFont="1" applyFill="1" applyBorder="1" applyAlignment="1">
      <alignment horizontal="center" vertical="center" wrapText="1"/>
    </xf>
    <xf numFmtId="0" fontId="64" fillId="2" borderId="18" xfId="13" applyFont="1" applyFill="1" applyBorder="1" applyAlignment="1">
      <alignment horizontal="left" vertical="center" wrapText="1"/>
    </xf>
    <xf numFmtId="0" fontId="64" fillId="2" borderId="23" xfId="13" applyFont="1" applyFill="1" applyBorder="1" applyAlignment="1">
      <alignment horizontal="center" vertical="center" wrapText="1"/>
    </xf>
    <xf numFmtId="0" fontId="65" fillId="2" borderId="1" xfId="13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1" fontId="66" fillId="2" borderId="1" xfId="13" applyNumberFormat="1" applyFont="1" applyFill="1" applyBorder="1" applyAlignment="1">
      <alignment horizontal="center" vertical="center"/>
    </xf>
    <xf numFmtId="0" fontId="67" fillId="2" borderId="6" xfId="13" applyFont="1" applyFill="1" applyBorder="1" applyAlignment="1">
      <alignment horizontal="center" vertical="center"/>
    </xf>
    <xf numFmtId="0" fontId="67" fillId="2" borderId="1" xfId="13" applyFont="1" applyFill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1" fontId="67" fillId="2" borderId="1" xfId="13" applyNumberFormat="1" applyFont="1" applyFill="1" applyBorder="1" applyAlignment="1">
      <alignment horizontal="center" vertical="center"/>
    </xf>
    <xf numFmtId="0" fontId="66" fillId="2" borderId="1" xfId="13" applyFont="1" applyFill="1" applyBorder="1" applyAlignment="1">
      <alignment horizontal="center" vertical="center"/>
    </xf>
    <xf numFmtId="1" fontId="65" fillId="2" borderId="10" xfId="13" applyNumberFormat="1" applyFont="1" applyFill="1" applyBorder="1" applyAlignment="1">
      <alignment horizontal="left" vertical="center"/>
    </xf>
    <xf numFmtId="1" fontId="17" fillId="2" borderId="1" xfId="13" applyNumberFormat="1" applyFont="1" applyFill="1" applyBorder="1" applyAlignment="1">
      <alignment horizontal="center" vertical="center"/>
    </xf>
    <xf numFmtId="0" fontId="17" fillId="2" borderId="1" xfId="13" applyFont="1" applyFill="1" applyBorder="1" applyAlignment="1">
      <alignment vertical="center"/>
    </xf>
    <xf numFmtId="0" fontId="17" fillId="2" borderId="1" xfId="13" applyFont="1" applyFill="1" applyBorder="1" applyAlignment="1">
      <alignment horizontal="center" vertical="center"/>
    </xf>
    <xf numFmtId="0" fontId="64" fillId="2" borderId="26" xfId="13" applyFont="1" applyFill="1" applyBorder="1" applyAlignment="1">
      <alignment horizontal="center" vertical="center" wrapText="1"/>
    </xf>
    <xf numFmtId="0" fontId="62" fillId="2" borderId="1" xfId="13" applyFont="1" applyFill="1" applyBorder="1" applyAlignment="1">
      <alignment vertical="center"/>
    </xf>
    <xf numFmtId="0" fontId="68" fillId="0" borderId="0" xfId="8" applyFont="1" applyAlignment="1">
      <alignment vertical="center"/>
    </xf>
    <xf numFmtId="0" fontId="69" fillId="0" borderId="0" xfId="8" applyAlignment="1">
      <alignment vertical="center"/>
    </xf>
    <xf numFmtId="0" fontId="72" fillId="4" borderId="1" xfId="8" applyFont="1" applyFill="1" applyBorder="1" applyAlignment="1">
      <alignment horizontal="center" vertical="center"/>
    </xf>
    <xf numFmtId="0" fontId="13" fillId="0" borderId="1" xfId="4" quotePrefix="1" applyFont="1" applyBorder="1" applyAlignment="1">
      <alignment horizontal="center" vertical="center"/>
    </xf>
    <xf numFmtId="0" fontId="7" fillId="0" borderId="0" xfId="0" quotePrefix="1" applyFont="1" applyAlignment="1">
      <alignment horizontal="left"/>
    </xf>
    <xf numFmtId="0" fontId="7" fillId="0" borderId="0" xfId="0" quotePrefix="1" applyFont="1"/>
    <xf numFmtId="2" fontId="80" fillId="4" borderId="1" xfId="8" applyNumberFormat="1" applyFont="1" applyFill="1" applyBorder="1" applyAlignment="1">
      <alignment horizontal="center" vertical="center"/>
    </xf>
    <xf numFmtId="2" fontId="80" fillId="4" borderId="1" xfId="8" applyNumberFormat="1" applyFont="1" applyFill="1" applyBorder="1" applyAlignment="1">
      <alignment vertical="center"/>
    </xf>
    <xf numFmtId="169" fontId="82" fillId="0" borderId="12" xfId="0" quotePrefix="1" applyNumberFormat="1" applyFont="1" applyBorder="1" applyAlignment="1">
      <alignment vertical="center" wrapText="1"/>
    </xf>
    <xf numFmtId="0" fontId="32" fillId="0" borderId="1" xfId="4" applyFont="1" applyBorder="1" applyAlignment="1">
      <alignment vertical="center" wrapText="1"/>
    </xf>
    <xf numFmtId="14" fontId="2" fillId="0" borderId="12" xfId="0" applyNumberFormat="1" applyFont="1" applyBorder="1" applyAlignment="1">
      <alignment horizontal="center" vertical="center"/>
    </xf>
    <xf numFmtId="0" fontId="83" fillId="3" borderId="0" xfId="4" applyFont="1" applyFill="1" applyAlignment="1">
      <alignment vertical="center"/>
    </xf>
    <xf numFmtId="0" fontId="84" fillId="0" borderId="1" xfId="0" applyFont="1" applyBorder="1" applyAlignment="1">
      <alignment horizontal="center" vertical="center"/>
    </xf>
    <xf numFmtId="0" fontId="85" fillId="2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 vertical="center" textRotation="90" wrapText="1"/>
    </xf>
    <xf numFmtId="1" fontId="87" fillId="2" borderId="10" xfId="13" applyNumberFormat="1" applyFont="1" applyFill="1" applyBorder="1" applyAlignment="1">
      <alignment horizontal="left" vertical="center"/>
    </xf>
    <xf numFmtId="0" fontId="89" fillId="0" borderId="1" xfId="0" applyFont="1" applyBorder="1" applyAlignment="1">
      <alignment horizontal="left" vertical="center"/>
    </xf>
    <xf numFmtId="0" fontId="90" fillId="0" borderId="1" xfId="0" applyFont="1" applyBorder="1" applyAlignment="1">
      <alignment horizontal="left" vertical="center"/>
    </xf>
    <xf numFmtId="0" fontId="91" fillId="0" borderId="0" xfId="4" applyFont="1" applyAlignment="1">
      <alignment vertical="center" wrapText="1"/>
    </xf>
    <xf numFmtId="0" fontId="92" fillId="0" borderId="10" xfId="0" applyFont="1" applyBorder="1" applyAlignment="1">
      <alignment horizontal="left" vertical="center"/>
    </xf>
    <xf numFmtId="0" fontId="84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vertical="center"/>
    </xf>
    <xf numFmtId="0" fontId="84" fillId="0" borderId="1" xfId="0" applyFont="1" applyBorder="1" applyAlignment="1">
      <alignment vertical="center"/>
    </xf>
    <xf numFmtId="167" fontId="43" fillId="2" borderId="1" xfId="0" applyNumberFormat="1" applyFont="1" applyFill="1" applyBorder="1" applyAlignment="1">
      <alignment horizontal="center" vertical="center"/>
    </xf>
    <xf numFmtId="165" fontId="50" fillId="0" borderId="1" xfId="0" applyNumberFormat="1" applyFont="1" applyBorder="1" applyAlignment="1">
      <alignment horizontal="center" vertical="center"/>
    </xf>
    <xf numFmtId="0" fontId="95" fillId="0" borderId="8" xfId="4" applyFont="1" applyBorder="1" applyAlignment="1">
      <alignment horizontal="left" vertical="center"/>
    </xf>
    <xf numFmtId="0" fontId="96" fillId="0" borderId="0" xfId="4" applyFont="1" applyAlignment="1">
      <alignment horizontal="left" vertical="center"/>
    </xf>
    <xf numFmtId="0" fontId="81" fillId="2" borderId="1" xfId="4" applyFont="1" applyFill="1" applyBorder="1" applyAlignment="1">
      <alignment horizontal="center" vertical="center" wrapText="1"/>
    </xf>
    <xf numFmtId="2" fontId="97" fillId="4" borderId="1" xfId="8" applyNumberFormat="1" applyFont="1" applyFill="1" applyBorder="1" applyAlignment="1">
      <alignment horizontal="center" vertical="center"/>
    </xf>
    <xf numFmtId="0" fontId="98" fillId="2" borderId="0" xfId="13" applyFont="1" applyFill="1" applyAlignment="1">
      <alignment horizontal="left" vertical="center"/>
    </xf>
    <xf numFmtId="0" fontId="58" fillId="4" borderId="1" xfId="0" applyFont="1" applyFill="1" applyBorder="1" applyAlignment="1">
      <alignment vertical="center" wrapText="1"/>
    </xf>
    <xf numFmtId="0" fontId="84" fillId="0" borderId="1" xfId="0" applyFont="1" applyBorder="1" applyAlignment="1">
      <alignment horizontal="left" vertical="center"/>
    </xf>
    <xf numFmtId="1" fontId="99" fillId="2" borderId="1" xfId="0" applyNumberFormat="1" applyFont="1" applyFill="1" applyBorder="1" applyAlignment="1">
      <alignment horizontal="center" vertical="center" wrapText="1"/>
    </xf>
    <xf numFmtId="0" fontId="101" fillId="0" borderId="0" xfId="8" applyFont="1" applyAlignment="1">
      <alignment vertical="center"/>
    </xf>
    <xf numFmtId="0" fontId="69" fillId="2" borderId="0" xfId="8" applyFill="1" applyAlignment="1">
      <alignment vertical="center"/>
    </xf>
    <xf numFmtId="0" fontId="68" fillId="2" borderId="0" xfId="8" applyFont="1" applyFill="1" applyAlignment="1">
      <alignment vertical="center"/>
    </xf>
    <xf numFmtId="0" fontId="2" fillId="0" borderId="1" xfId="0" applyFont="1" applyBorder="1" applyAlignment="1">
      <alignment vertical="center"/>
    </xf>
    <xf numFmtId="2" fontId="80" fillId="4" borderId="1" xfId="23" applyNumberFormat="1" applyFont="1" applyFill="1" applyBorder="1" applyAlignment="1">
      <alignment horizontal="center" vertical="center"/>
    </xf>
    <xf numFmtId="2" fontId="80" fillId="4" borderId="4" xfId="23" applyNumberFormat="1" applyFont="1" applyFill="1" applyBorder="1" applyAlignment="1">
      <alignment horizontal="center" vertical="center"/>
    </xf>
    <xf numFmtId="20" fontId="72" fillId="4" borderId="1" xfId="23" applyNumberFormat="1" applyFont="1" applyFill="1" applyBorder="1" applyAlignment="1">
      <alignment horizontal="center" vertical="center"/>
    </xf>
    <xf numFmtId="172" fontId="72" fillId="2" borderId="1" xfId="2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71" fontId="104" fillId="4" borderId="31" xfId="1" applyNumberFormat="1" applyFont="1" applyFill="1" applyBorder="1" applyAlignment="1">
      <alignment horizontal="center" vertical="center" wrapText="1"/>
    </xf>
    <xf numFmtId="171" fontId="104" fillId="4" borderId="8" xfId="1" applyNumberFormat="1" applyFont="1" applyFill="1" applyBorder="1" applyAlignment="1">
      <alignment horizontal="center" vertical="center" wrapText="1"/>
    </xf>
    <xf numFmtId="171" fontId="104" fillId="4" borderId="34" xfId="1" applyNumberFormat="1" applyFont="1" applyFill="1" applyBorder="1" applyAlignment="1">
      <alignment horizontal="center" vertical="center" wrapText="1"/>
    </xf>
    <xf numFmtId="0" fontId="104" fillId="4" borderId="32" xfId="23" applyFont="1" applyFill="1" applyBorder="1" applyAlignment="1">
      <alignment horizontal="center" vertical="center"/>
    </xf>
    <xf numFmtId="0" fontId="104" fillId="4" borderId="5" xfId="23" applyFont="1" applyFill="1" applyBorder="1" applyAlignment="1">
      <alignment horizontal="center" vertical="center"/>
    </xf>
    <xf numFmtId="0" fontId="104" fillId="4" borderId="23" xfId="23" applyFont="1" applyFill="1" applyBorder="1" applyAlignment="1">
      <alignment horizontal="center" vertical="center"/>
    </xf>
    <xf numFmtId="171" fontId="104" fillId="4" borderId="33" xfId="1" applyNumberFormat="1" applyFont="1" applyFill="1" applyBorder="1" applyAlignment="1">
      <alignment horizontal="center" vertical="center" wrapText="1"/>
    </xf>
    <xf numFmtId="171" fontId="104" fillId="4" borderId="30" xfId="1" applyNumberFormat="1" applyFont="1" applyFill="1" applyBorder="1" applyAlignment="1">
      <alignment horizontal="center" vertical="center" wrapText="1"/>
    </xf>
    <xf numFmtId="171" fontId="104" fillId="4" borderId="35" xfId="1" applyNumberFormat="1" applyFont="1" applyFill="1" applyBorder="1" applyAlignment="1">
      <alignment horizontal="center" vertical="center" wrapText="1"/>
    </xf>
    <xf numFmtId="0" fontId="62" fillId="2" borderId="0" xfId="13" applyFont="1" applyFill="1" applyAlignment="1">
      <alignment horizontal="center" vertical="center" wrapText="1"/>
    </xf>
    <xf numFmtId="0" fontId="10" fillId="2" borderId="18" xfId="13" applyFont="1" applyFill="1" applyBorder="1" applyAlignment="1">
      <alignment horizontal="center" vertical="center"/>
    </xf>
    <xf numFmtId="0" fontId="10" fillId="2" borderId="19" xfId="13" applyFont="1" applyFill="1" applyBorder="1" applyAlignment="1">
      <alignment horizontal="center" vertical="center"/>
    </xf>
    <xf numFmtId="0" fontId="10" fillId="2" borderId="20" xfId="13" applyFont="1" applyFill="1" applyBorder="1" applyAlignment="1">
      <alignment horizontal="center" vertical="center"/>
    </xf>
    <xf numFmtId="0" fontId="10" fillId="2" borderId="21" xfId="13" applyFont="1" applyFill="1" applyBorder="1" applyAlignment="1">
      <alignment horizontal="center" vertical="center"/>
    </xf>
    <xf numFmtId="0" fontId="10" fillId="2" borderId="24" xfId="13" applyFont="1" applyFill="1" applyBorder="1" applyAlignment="1">
      <alignment horizontal="center" vertical="center"/>
    </xf>
    <xf numFmtId="0" fontId="62" fillId="2" borderId="25" xfId="13" applyFont="1" applyFill="1" applyBorder="1" applyAlignment="1">
      <alignment horizontal="center" vertical="center" wrapText="1"/>
    </xf>
    <xf numFmtId="0" fontId="62" fillId="2" borderId="27" xfId="13" applyFont="1" applyFill="1" applyBorder="1" applyAlignment="1">
      <alignment horizontal="center" vertical="center"/>
    </xf>
    <xf numFmtId="0" fontId="47" fillId="0" borderId="1" xfId="4" applyFont="1" applyBorder="1" applyAlignment="1">
      <alignment horizontal="center" vertical="center" wrapText="1"/>
    </xf>
    <xf numFmtId="0" fontId="54" fillId="0" borderId="1" xfId="4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9" fillId="0" borderId="10" xfId="4" applyFont="1" applyBorder="1" applyAlignment="1">
      <alignment horizontal="left" vertical="center" wrapText="1"/>
    </xf>
    <xf numFmtId="0" fontId="59" fillId="0" borderId="11" xfId="4" applyFont="1" applyBorder="1" applyAlignment="1">
      <alignment horizontal="left" vertical="center" wrapText="1"/>
    </xf>
    <xf numFmtId="14" fontId="88" fillId="0" borderId="11" xfId="4" applyNumberFormat="1" applyFont="1" applyBorder="1" applyAlignment="1">
      <alignment horizontal="center" vertical="center" wrapText="1"/>
    </xf>
    <xf numFmtId="0" fontId="61" fillId="0" borderId="12" xfId="4" applyFont="1" applyBorder="1" applyAlignment="1">
      <alignment horizontal="center" vertical="center" wrapText="1"/>
    </xf>
    <xf numFmtId="0" fontId="54" fillId="0" borderId="1" xfId="4" applyFont="1" applyBorder="1" applyAlignment="1">
      <alignment vertical="center" wrapText="1"/>
    </xf>
    <xf numFmtId="0" fontId="61" fillId="0" borderId="11" xfId="4" applyFont="1" applyBorder="1" applyAlignment="1">
      <alignment horizontal="center" vertical="center" wrapText="1"/>
    </xf>
    <xf numFmtId="0" fontId="32" fillId="0" borderId="1" xfId="4" applyFont="1" applyBorder="1" applyAlignment="1">
      <alignment horizontal="center" vertical="center" wrapText="1"/>
    </xf>
    <xf numFmtId="166" fontId="32" fillId="0" borderId="10" xfId="4" applyNumberFormat="1" applyFont="1" applyBorder="1" applyAlignment="1">
      <alignment horizontal="center" vertical="center" wrapText="1"/>
    </xf>
    <xf numFmtId="166" fontId="32" fillId="0" borderId="11" xfId="4" applyNumberFormat="1" applyFont="1" applyBorder="1" applyAlignment="1">
      <alignment horizontal="center" vertical="center" wrapText="1"/>
    </xf>
    <xf numFmtId="166" fontId="32" fillId="0" borderId="12" xfId="4" applyNumberFormat="1" applyFont="1" applyBorder="1" applyAlignment="1">
      <alignment horizontal="center" vertical="center" wrapText="1"/>
    </xf>
    <xf numFmtId="0" fontId="32" fillId="0" borderId="4" xfId="4" applyFont="1" applyBorder="1" applyAlignment="1">
      <alignment horizontal="center" vertical="center" wrapText="1"/>
    </xf>
    <xf numFmtId="0" fontId="32" fillId="0" borderId="6" xfId="4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left" vertical="center" wrapText="1"/>
    </xf>
    <xf numFmtId="0" fontId="36" fillId="0" borderId="7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left" vertical="center" wrapText="1"/>
    </xf>
    <xf numFmtId="169" fontId="51" fillId="0" borderId="11" xfId="0" applyNumberFormat="1" applyFont="1" applyBorder="1" applyAlignment="1">
      <alignment horizontal="left" vertical="center" wrapText="1"/>
    </xf>
    <xf numFmtId="0" fontId="94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38" fillId="0" borderId="1" xfId="0" applyFont="1" applyBorder="1" applyAlignment="1">
      <alignment horizontal="center" vertical="center" textRotation="90" wrapText="1"/>
    </xf>
    <xf numFmtId="0" fontId="39" fillId="0" borderId="1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textRotation="90" wrapText="1"/>
    </xf>
    <xf numFmtId="0" fontId="39" fillId="0" borderId="6" xfId="0" applyFont="1" applyBorder="1" applyAlignment="1">
      <alignment horizontal="center" vertical="center" textRotation="90" wrapText="1"/>
    </xf>
    <xf numFmtId="0" fontId="39" fillId="0" borderId="1" xfId="0" applyFont="1" applyBorder="1" applyAlignment="1">
      <alignment horizontal="center" vertical="center" textRotation="90" wrapText="1"/>
    </xf>
    <xf numFmtId="166" fontId="39" fillId="0" borderId="1" xfId="0" applyNumberFormat="1" applyFont="1" applyBorder="1" applyAlignment="1">
      <alignment horizontal="center" vertical="center" textRotation="90" wrapText="1"/>
    </xf>
    <xf numFmtId="0" fontId="35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 vertical="center"/>
    </xf>
    <xf numFmtId="0" fontId="19" fillId="0" borderId="3" xfId="4" applyFont="1" applyBorder="1" applyAlignment="1">
      <alignment horizontal="center" vertical="center"/>
    </xf>
    <xf numFmtId="0" fontId="19" fillId="0" borderId="7" xfId="4" applyFont="1" applyBorder="1" applyAlignment="1">
      <alignment horizontal="center" vertical="center"/>
    </xf>
    <xf numFmtId="0" fontId="20" fillId="0" borderId="13" xfId="4" applyFont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0" fillId="0" borderId="8" xfId="4" applyFont="1" applyBorder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5" fillId="0" borderId="1" xfId="4" applyFont="1" applyBorder="1" applyAlignment="1">
      <alignment horizontal="left" vertical="center"/>
    </xf>
    <xf numFmtId="0" fontId="25" fillId="0" borderId="0" xfId="4" applyFont="1" applyAlignment="1">
      <alignment horizontal="left" vertical="center"/>
    </xf>
    <xf numFmtId="0" fontId="96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20" fillId="0" borderId="8" xfId="4" applyFont="1" applyBorder="1" applyAlignment="1">
      <alignment vertical="center"/>
    </xf>
    <xf numFmtId="0" fontId="21" fillId="0" borderId="10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4" xfId="4" applyFont="1" applyBorder="1" applyAlignment="1">
      <alignment vertical="center"/>
    </xf>
    <xf numFmtId="0" fontId="21" fillId="0" borderId="15" xfId="4" applyFont="1" applyBorder="1" applyAlignment="1">
      <alignment vertical="center"/>
    </xf>
    <xf numFmtId="0" fontId="21" fillId="0" borderId="14" xfId="4" applyFont="1" applyBorder="1" applyAlignment="1">
      <alignment horizontal="center" vertical="center"/>
    </xf>
    <xf numFmtId="0" fontId="21" fillId="0" borderId="15" xfId="4" applyFont="1" applyBorder="1" applyAlignment="1">
      <alignment horizontal="center" vertical="center"/>
    </xf>
    <xf numFmtId="0" fontId="25" fillId="0" borderId="10" xfId="4" applyFont="1" applyBorder="1" applyAlignment="1">
      <alignment horizontal="left" vertical="center"/>
    </xf>
    <xf numFmtId="0" fontId="25" fillId="0" borderId="12" xfId="4" applyFont="1" applyBorder="1" applyAlignment="1">
      <alignment horizontal="left" vertical="center"/>
    </xf>
    <xf numFmtId="0" fontId="26" fillId="0" borderId="10" xfId="4" applyFont="1" applyBorder="1" applyAlignment="1">
      <alignment horizontal="right" vertical="center"/>
    </xf>
    <xf numFmtId="0" fontId="26" fillId="0" borderId="12" xfId="4" applyFont="1" applyBorder="1" applyAlignment="1">
      <alignment horizontal="right" vertical="center"/>
    </xf>
    <xf numFmtId="0" fontId="19" fillId="0" borderId="0" xfId="4" applyFont="1" applyAlignment="1">
      <alignment horizontal="center" vertical="center"/>
    </xf>
    <xf numFmtId="0" fontId="23" fillId="0" borderId="0" xfId="4" applyFont="1" applyAlignment="1">
      <alignment horizontal="left" vertical="center" wrapText="1"/>
    </xf>
    <xf numFmtId="0" fontId="23" fillId="0" borderId="0" xfId="4" applyFont="1" applyAlignment="1">
      <alignment horizontal="left" vertical="center"/>
    </xf>
    <xf numFmtId="0" fontId="23" fillId="0" borderId="8" xfId="4" applyFont="1" applyBorder="1" applyAlignment="1">
      <alignment horizontal="left" vertical="center"/>
    </xf>
    <xf numFmtId="0" fontId="95" fillId="0" borderId="0" xfId="4" applyFont="1" applyAlignment="1">
      <alignment horizontal="left" vertical="center"/>
    </xf>
    <xf numFmtId="0" fontId="8" fillId="0" borderId="9" xfId="4" applyFont="1" applyBorder="1" applyAlignment="1">
      <alignment horizontal="center" vertical="center" wrapText="1"/>
    </xf>
    <xf numFmtId="0" fontId="8" fillId="0" borderId="10" xfId="4" applyFont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3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left" vertical="center" wrapText="1"/>
    </xf>
    <xf numFmtId="0" fontId="8" fillId="0" borderId="3" xfId="4" applyFont="1" applyBorder="1" applyAlignment="1">
      <alignment horizontal="left" vertical="center" wrapText="1"/>
    </xf>
    <xf numFmtId="0" fontId="8" fillId="0" borderId="7" xfId="4" applyFont="1" applyBorder="1" applyAlignment="1">
      <alignment horizontal="left" vertical="center" wrapText="1"/>
    </xf>
    <xf numFmtId="0" fontId="8" fillId="3" borderId="10" xfId="4" applyFont="1" applyFill="1" applyBorder="1" applyAlignment="1">
      <alignment horizontal="center" vertical="center"/>
    </xf>
    <xf numFmtId="0" fontId="8" fillId="3" borderId="12" xfId="4" applyFont="1" applyFill="1" applyBorder="1" applyAlignment="1">
      <alignment horizontal="center" vertical="center"/>
    </xf>
    <xf numFmtId="0" fontId="8" fillId="0" borderId="1" xfId="4" applyFont="1" applyBorder="1" applyAlignment="1">
      <alignment horizontal="left" vertical="center" wrapText="1"/>
    </xf>
    <xf numFmtId="0" fontId="8" fillId="0" borderId="11" xfId="4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 wrapText="1"/>
    </xf>
    <xf numFmtId="0" fontId="8" fillId="0" borderId="10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3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/>
    </xf>
    <xf numFmtId="2" fontId="80" fillId="4" borderId="1" xfId="23" applyNumberFormat="1" applyFont="1" applyFill="1" applyBorder="1" applyAlignment="1">
      <alignment vertical="center"/>
    </xf>
    <xf numFmtId="2" fontId="80" fillId="4" borderId="4" xfId="23" applyNumberFormat="1" applyFont="1" applyFill="1" applyBorder="1" applyAlignment="1">
      <alignment vertical="center"/>
    </xf>
    <xf numFmtId="20" fontId="105" fillId="2" borderId="1" xfId="8" applyNumberFormat="1" applyFont="1" applyFill="1" applyBorder="1" applyAlignment="1">
      <alignment horizontal="center" vertical="center"/>
    </xf>
    <xf numFmtId="20" fontId="105" fillId="2" borderId="0" xfId="8" applyNumberFormat="1" applyFont="1" applyFill="1" applyAlignment="1">
      <alignment horizontal="center" vertical="center"/>
    </xf>
    <xf numFmtId="0" fontId="70" fillId="2" borderId="1" xfId="4" applyFont="1" applyFill="1" applyBorder="1" applyAlignment="1">
      <alignment horizontal="center" vertical="center" wrapText="1"/>
    </xf>
    <xf numFmtId="0" fontId="70" fillId="2" borderId="1" xfId="4" applyFont="1" applyFill="1" applyBorder="1" applyAlignment="1">
      <alignment vertical="center" wrapText="1"/>
    </xf>
    <xf numFmtId="17" fontId="70" fillId="2" borderId="1" xfId="4" applyNumberFormat="1" applyFont="1" applyFill="1" applyBorder="1" applyAlignment="1">
      <alignment horizontal="center" vertical="center" wrapText="1"/>
    </xf>
    <xf numFmtId="0" fontId="70" fillId="2" borderId="10" xfId="4" applyFont="1" applyFill="1" applyBorder="1" applyAlignment="1">
      <alignment horizontal="left" vertical="center" wrapText="1"/>
    </xf>
    <xf numFmtId="0" fontId="70" fillId="2" borderId="11" xfId="4" applyFont="1" applyFill="1" applyBorder="1" applyAlignment="1">
      <alignment horizontal="left" vertical="center" wrapText="1"/>
    </xf>
    <xf numFmtId="0" fontId="70" fillId="2" borderId="28" xfId="4" applyFont="1" applyFill="1" applyBorder="1" applyAlignment="1">
      <alignment horizontal="left" vertical="center" wrapText="1"/>
    </xf>
    <xf numFmtId="0" fontId="70" fillId="2" borderId="1" xfId="4" applyFont="1" applyFill="1" applyBorder="1" applyAlignment="1">
      <alignment horizontal="left" vertical="center" wrapText="1"/>
    </xf>
    <xf numFmtId="0" fontId="71" fillId="2" borderId="1" xfId="8" applyFont="1" applyFill="1" applyBorder="1" applyAlignment="1">
      <alignment horizontal="left" vertical="center" wrapText="1"/>
    </xf>
    <xf numFmtId="0" fontId="70" fillId="2" borderId="1" xfId="4" applyFont="1" applyFill="1" applyBorder="1" applyAlignment="1">
      <alignment vertical="center" wrapText="1"/>
    </xf>
    <xf numFmtId="0" fontId="70" fillId="2" borderId="29" xfId="4" applyFont="1" applyFill="1" applyBorder="1" applyAlignment="1">
      <alignment horizontal="left" vertical="center" wrapText="1"/>
    </xf>
    <xf numFmtId="0" fontId="48" fillId="2" borderId="1" xfId="4" applyFont="1" applyFill="1" applyBorder="1" applyAlignment="1">
      <alignment horizontal="center" vertical="center" wrapText="1"/>
    </xf>
    <xf numFmtId="0" fontId="81" fillId="2" borderId="10" xfId="4" applyFont="1" applyFill="1" applyBorder="1" applyAlignment="1">
      <alignment horizontal="center" vertical="center" wrapText="1"/>
    </xf>
    <xf numFmtId="0" fontId="81" fillId="2" borderId="11" xfId="4" applyFont="1" applyFill="1" applyBorder="1" applyAlignment="1">
      <alignment horizontal="center" vertical="center" wrapText="1"/>
    </xf>
    <xf numFmtId="0" fontId="81" fillId="2" borderId="3" xfId="4" applyFont="1" applyFill="1" applyBorder="1" applyAlignment="1">
      <alignment horizontal="center" vertical="center" wrapText="1"/>
    </xf>
    <xf numFmtId="0" fontId="81" fillId="2" borderId="4" xfId="4" applyFont="1" applyFill="1" applyBorder="1" applyAlignment="1">
      <alignment horizontal="center" vertical="center" wrapText="1"/>
    </xf>
    <xf numFmtId="0" fontId="81" fillId="2" borderId="1" xfId="4" applyFont="1" applyFill="1" applyBorder="1" applyAlignment="1">
      <alignment horizontal="center" vertical="center" wrapText="1"/>
    </xf>
    <xf numFmtId="0" fontId="81" fillId="2" borderId="29" xfId="4" applyFont="1" applyFill="1" applyBorder="1" applyAlignment="1">
      <alignment horizontal="center" vertical="center" wrapText="1"/>
    </xf>
    <xf numFmtId="0" fontId="81" fillId="2" borderId="10" xfId="4" applyFont="1" applyFill="1" applyBorder="1" applyAlignment="1">
      <alignment horizontal="center" vertical="center" wrapText="1"/>
    </xf>
    <xf numFmtId="0" fontId="81" fillId="2" borderId="7" xfId="4" applyFont="1" applyFill="1" applyBorder="1" applyAlignment="1">
      <alignment horizontal="center" vertical="center" wrapText="1"/>
    </xf>
    <xf numFmtId="0" fontId="81" fillId="2" borderId="15" xfId="4" applyFont="1" applyFill="1" applyBorder="1" applyAlignment="1">
      <alignment horizontal="center" vertical="center" wrapText="1"/>
    </xf>
    <xf numFmtId="0" fontId="73" fillId="2" borderId="4" xfId="8" applyFont="1" applyFill="1" applyBorder="1" applyAlignment="1">
      <alignment horizontal="center" vertical="center" wrapText="1"/>
    </xf>
    <xf numFmtId="0" fontId="73" fillId="2" borderId="4" xfId="8" applyFont="1" applyFill="1" applyBorder="1" applyAlignment="1">
      <alignment horizontal="center" vertical="center"/>
    </xf>
    <xf numFmtId="0" fontId="73" fillId="2" borderId="6" xfId="8" applyFont="1" applyFill="1" applyBorder="1" applyAlignment="1">
      <alignment horizontal="center" vertical="center" wrapText="1"/>
    </xf>
    <xf numFmtId="0" fontId="73" fillId="2" borderId="6" xfId="8" applyFont="1" applyFill="1" applyBorder="1" applyAlignment="1">
      <alignment horizontal="center" vertical="center"/>
    </xf>
    <xf numFmtId="0" fontId="72" fillId="2" borderId="4" xfId="8" applyFont="1" applyFill="1" applyBorder="1" applyAlignment="1">
      <alignment horizontal="center" vertical="center"/>
    </xf>
    <xf numFmtId="0" fontId="72" fillId="2" borderId="6" xfId="8" applyFont="1" applyFill="1" applyBorder="1" applyAlignment="1">
      <alignment horizontal="center" vertical="center"/>
    </xf>
    <xf numFmtId="0" fontId="72" fillId="2" borderId="5" xfId="8" applyFont="1" applyFill="1" applyBorder="1" applyAlignment="1">
      <alignment horizontal="center" vertical="center"/>
    </xf>
    <xf numFmtId="0" fontId="73" fillId="2" borderId="5" xfId="8" applyFont="1" applyFill="1" applyBorder="1" applyAlignment="1">
      <alignment horizontal="center" vertical="center" wrapText="1"/>
    </xf>
    <xf numFmtId="0" fontId="73" fillId="2" borderId="5" xfId="8" applyFont="1" applyFill="1" applyBorder="1" applyAlignment="1">
      <alignment horizontal="center" vertical="center"/>
    </xf>
    <xf numFmtId="0" fontId="72" fillId="4" borderId="4" xfId="8" applyFont="1" applyFill="1" applyBorder="1" applyAlignment="1">
      <alignment horizontal="center" vertical="center"/>
    </xf>
    <xf numFmtId="0" fontId="100" fillId="2" borderId="0" xfId="8" applyFont="1" applyFill="1" applyBorder="1" applyAlignment="1">
      <alignment horizontal="left" vertical="center"/>
    </xf>
    <xf numFmtId="0" fontId="71" fillId="2" borderId="0" xfId="8" applyFont="1" applyFill="1" applyBorder="1" applyAlignment="1">
      <alignment horizontal="left" vertical="center"/>
    </xf>
    <xf numFmtId="22" fontId="72" fillId="4" borderId="1" xfId="23" applyNumberFormat="1" applyFont="1" applyFill="1" applyBorder="1" applyAlignment="1">
      <alignment horizontal="center" vertical="center"/>
    </xf>
    <xf numFmtId="172" fontId="72" fillId="2" borderId="4" xfId="23" applyNumberFormat="1" applyFont="1" applyFill="1" applyBorder="1" applyAlignment="1">
      <alignment horizontal="center" vertical="center"/>
    </xf>
    <xf numFmtId="0" fontId="69" fillId="0" borderId="0" xfId="8" applyBorder="1" applyAlignment="1">
      <alignment vertical="center"/>
    </xf>
    <xf numFmtId="0" fontId="33" fillId="0" borderId="10" xfId="4" applyFont="1" applyBorder="1" applyAlignment="1">
      <alignment horizontal="center" vertical="center"/>
    </xf>
    <xf numFmtId="0" fontId="33" fillId="0" borderId="12" xfId="4" applyFont="1" applyBorder="1" applyAlignment="1">
      <alignment horizontal="center" vertical="center"/>
    </xf>
    <xf numFmtId="0" fontId="84" fillId="2" borderId="1" xfId="0" applyFont="1" applyFill="1" applyBorder="1" applyAlignment="1">
      <alignment vertical="center"/>
    </xf>
  </cellXfs>
  <cellStyles count="31">
    <cellStyle name="Comma" xfId="1" builtinId="3"/>
    <cellStyle name="Comma 2" xfId="16" xr:uid="{00000000-0005-0000-0000-000001000000}"/>
    <cellStyle name="Normal" xfId="0" builtinId="0"/>
    <cellStyle name="Normal 10" xfId="2" xr:uid="{00000000-0005-0000-0000-000003000000}"/>
    <cellStyle name="Normal 10 2" xfId="17" xr:uid="{00000000-0005-0000-0000-000004000000}"/>
    <cellStyle name="Normal 10 2 2" xfId="3" xr:uid="{00000000-0005-0000-0000-000005000000}"/>
    <cellStyle name="Normal 10 2 2 2" xfId="18" xr:uid="{00000000-0005-0000-0000-000006000000}"/>
    <cellStyle name="Normal 2" xfId="4" xr:uid="{00000000-0005-0000-0000-000007000000}"/>
    <cellStyle name="Normal 2 14" xfId="5" xr:uid="{00000000-0005-0000-0000-000008000000}"/>
    <cellStyle name="Normal 2 14 2" xfId="20" xr:uid="{00000000-0005-0000-0000-000009000000}"/>
    <cellStyle name="Normal 2 2" xfId="6" xr:uid="{00000000-0005-0000-0000-00000A000000}"/>
    <cellStyle name="Normal 2 2 2" xfId="7" xr:uid="{00000000-0005-0000-0000-00000B000000}"/>
    <cellStyle name="Normal 2 2 2 2" xfId="22" xr:uid="{00000000-0005-0000-0000-00000C000000}"/>
    <cellStyle name="Normal 2 2 3" xfId="21" xr:uid="{00000000-0005-0000-0000-00000D000000}"/>
    <cellStyle name="Normal 2 3" xfId="19" xr:uid="{00000000-0005-0000-0000-00000E000000}"/>
    <cellStyle name="Normal 3" xfId="8" xr:uid="{00000000-0005-0000-0000-00000F000000}"/>
    <cellStyle name="Normal 3 2" xfId="23" xr:uid="{00000000-0005-0000-0000-000010000000}"/>
    <cellStyle name="Normal 4" xfId="9" xr:uid="{00000000-0005-0000-0000-000011000000}"/>
    <cellStyle name="Normal 4 2" xfId="24" xr:uid="{00000000-0005-0000-0000-000012000000}"/>
    <cellStyle name="Normal 5" xfId="10" xr:uid="{00000000-0005-0000-0000-000013000000}"/>
    <cellStyle name="Normal 5 2" xfId="25" xr:uid="{00000000-0005-0000-0000-000014000000}"/>
    <cellStyle name="Normal 55" xfId="11" xr:uid="{00000000-0005-0000-0000-000015000000}"/>
    <cellStyle name="Normal 55 2" xfId="26" xr:uid="{00000000-0005-0000-0000-000016000000}"/>
    <cellStyle name="Normal 6" xfId="12" xr:uid="{00000000-0005-0000-0000-000017000000}"/>
    <cellStyle name="Normal 6 2" xfId="27" xr:uid="{00000000-0005-0000-0000-000018000000}"/>
    <cellStyle name="Normal 7" xfId="13" xr:uid="{00000000-0005-0000-0000-000019000000}"/>
    <cellStyle name="Normal 7 2" xfId="28" xr:uid="{00000000-0005-0000-0000-00001A000000}"/>
    <cellStyle name="Percent 2" xfId="14" xr:uid="{00000000-0005-0000-0000-00001B000000}"/>
    <cellStyle name="Percent 2 15" xfId="15" xr:uid="{00000000-0005-0000-0000-00001C000000}"/>
    <cellStyle name="Percent 2 15 2" xfId="30" xr:uid="{00000000-0005-0000-0000-00001D000000}"/>
    <cellStyle name="Percent 2 2" xfId="29" xr:uid="{00000000-0005-0000-0000-00001E000000}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15129</xdr:colOff>
      <xdr:row>23</xdr:row>
      <xdr:rowOff>35858</xdr:rowOff>
    </xdr:from>
    <xdr:to>
      <xdr:col>37</xdr:col>
      <xdr:colOff>439011</xdr:colOff>
      <xdr:row>29</xdr:row>
      <xdr:rowOff>178633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48579" y="20647958"/>
          <a:ext cx="3986232" cy="2428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22</xdr:row>
      <xdr:rowOff>43180</xdr:rowOff>
    </xdr:from>
    <xdr:to>
      <xdr:col>6</xdr:col>
      <xdr:colOff>1107440</xdr:colOff>
      <xdr:row>26</xdr:row>
      <xdr:rowOff>94026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80" y="5681980"/>
          <a:ext cx="1412240" cy="8433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446314</xdr:colOff>
      <xdr:row>15</xdr:row>
      <xdr:rowOff>87085</xdr:rowOff>
    </xdr:from>
    <xdr:to>
      <xdr:col>48</xdr:col>
      <xdr:colOff>16449</xdr:colOff>
      <xdr:row>20</xdr:row>
      <xdr:rowOff>113321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7143" y="11038114"/>
          <a:ext cx="1438291" cy="8970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994832</xdr:colOff>
      <xdr:row>13</xdr:row>
      <xdr:rowOff>337043</xdr:rowOff>
    </xdr:from>
    <xdr:to>
      <xdr:col>31</xdr:col>
      <xdr:colOff>644770</xdr:colOff>
      <xdr:row>15</xdr:row>
      <xdr:rowOff>263775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524" y="14629428"/>
          <a:ext cx="1594014" cy="10795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95829</xdr:colOff>
      <xdr:row>26</xdr:row>
      <xdr:rowOff>54263</xdr:rowOff>
    </xdr:from>
    <xdr:to>
      <xdr:col>2</xdr:col>
      <xdr:colOff>386773</xdr:colOff>
      <xdr:row>31</xdr:row>
      <xdr:rowOff>7402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" y="4864100"/>
          <a:ext cx="1061085" cy="857885"/>
        </a:xfrm>
        <a:prstGeom prst="rect">
          <a:avLst/>
        </a:prstGeom>
      </xdr:spPr>
    </xdr:pic>
    <xdr:clientData/>
  </xdr:twoCellAnchor>
  <xdr:twoCellAnchor editAs="oneCell">
    <xdr:from>
      <xdr:col>1</xdr:col>
      <xdr:colOff>78510</xdr:colOff>
      <xdr:row>61</xdr:row>
      <xdr:rowOff>28863</xdr:rowOff>
    </xdr:from>
    <xdr:to>
      <xdr:col>2</xdr:col>
      <xdr:colOff>438727</xdr:colOff>
      <xdr:row>66</xdr:row>
      <xdr:rowOff>11545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1245850"/>
          <a:ext cx="1129665" cy="792480"/>
        </a:xfrm>
        <a:prstGeom prst="rect">
          <a:avLst/>
        </a:prstGeom>
      </xdr:spPr>
    </xdr:pic>
    <xdr:clientData/>
  </xdr:twoCellAnchor>
  <xdr:twoCellAnchor editAs="oneCell">
    <xdr:from>
      <xdr:col>1</xdr:col>
      <xdr:colOff>121227</xdr:colOff>
      <xdr:row>103</xdr:row>
      <xdr:rowOff>20783</xdr:rowOff>
    </xdr:from>
    <xdr:to>
      <xdr:col>2</xdr:col>
      <xdr:colOff>749990</xdr:colOff>
      <xdr:row>108</xdr:row>
      <xdr:rowOff>14330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270" y="23477220"/>
          <a:ext cx="1398905" cy="803275"/>
        </a:xfrm>
        <a:prstGeom prst="rect">
          <a:avLst/>
        </a:prstGeom>
      </xdr:spPr>
    </xdr:pic>
    <xdr:clientData/>
  </xdr:twoCellAnchor>
  <xdr:oneCellAnchor>
    <xdr:from>
      <xdr:col>1</xdr:col>
      <xdr:colOff>78510</xdr:colOff>
      <xdr:row>138</xdr:row>
      <xdr:rowOff>28863</xdr:rowOff>
    </xdr:from>
    <xdr:ext cx="1130876" cy="80529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169" y="11294340"/>
          <a:ext cx="1130876" cy="805296"/>
        </a:xfrm>
        <a:prstGeom prst="rect">
          <a:avLst/>
        </a:prstGeom>
      </xdr:spPr>
    </xdr:pic>
    <xdr:clientData/>
  </xdr:oneCellAnchor>
  <xdr:oneCellAnchor>
    <xdr:from>
      <xdr:col>1</xdr:col>
      <xdr:colOff>48491</xdr:colOff>
      <xdr:row>175</xdr:row>
      <xdr:rowOff>20781</xdr:rowOff>
    </xdr:from>
    <xdr:ext cx="1399422" cy="810389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7581417"/>
          <a:ext cx="1399422" cy="810389"/>
        </a:xfrm>
        <a:prstGeom prst="rect">
          <a:avLst/>
        </a:prstGeom>
      </xdr:spPr>
    </xdr:pic>
    <xdr:clientData/>
  </xdr:oneCellAnchor>
  <xdr:oneCellAnchor>
    <xdr:from>
      <xdr:col>1</xdr:col>
      <xdr:colOff>121227</xdr:colOff>
      <xdr:row>211</xdr:row>
      <xdr:rowOff>20783</xdr:rowOff>
    </xdr:from>
    <xdr:ext cx="1399422" cy="816161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886" y="23712056"/>
          <a:ext cx="1399422" cy="81616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242570</xdr:colOff>
      <xdr:row>12</xdr:row>
      <xdr:rowOff>139700</xdr:rowOff>
    </xdr:from>
    <xdr:to>
      <xdr:col>15</xdr:col>
      <xdr:colOff>439996</xdr:colOff>
      <xdr:row>17</xdr:row>
      <xdr:rowOff>87817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1370" y="6624320"/>
          <a:ext cx="1081346" cy="8244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274320</xdr:colOff>
      <xdr:row>19</xdr:row>
      <xdr:rowOff>7620</xdr:rowOff>
    </xdr:from>
    <xdr:to>
      <xdr:col>10</xdr:col>
      <xdr:colOff>531250</xdr:colOff>
      <xdr:row>24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265" y="6522720"/>
          <a:ext cx="1626235" cy="10528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11</xdr:row>
      <xdr:rowOff>152400</xdr:rowOff>
    </xdr:from>
    <xdr:to>
      <xdr:col>9</xdr:col>
      <xdr:colOff>1020345</xdr:colOff>
      <xdr:row>17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940175"/>
          <a:ext cx="1669415" cy="10642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15</xdr:row>
      <xdr:rowOff>0</xdr:rowOff>
    </xdr:from>
    <xdr:to>
      <xdr:col>14</xdr:col>
      <xdr:colOff>663389</xdr:colOff>
      <xdr:row>18</xdr:row>
      <xdr:rowOff>185091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7035" y="6245860"/>
          <a:ext cx="1299210" cy="7848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1073150</xdr:colOff>
      <xdr:row>19</xdr:row>
      <xdr:rowOff>107950</xdr:rowOff>
    </xdr:from>
    <xdr:to>
      <xdr:col>4</xdr:col>
      <xdr:colOff>592377</xdr:colOff>
      <xdr:row>25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2510" y="8823325"/>
          <a:ext cx="1628140" cy="1060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fsIN\LOC\Cob\HRL\HRL-M\per-cob\HRL-COB\HRL-COB-Statutory\RBEI-Cob\CLRA%20Act\Templates\Attendance%20Sheet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No.XXVI"/>
      <sheetName val="Input Sheet August 2019"/>
      <sheetName val="Reference Sheet"/>
      <sheetName val="Sheet3"/>
    </sheetNames>
    <sheetDataSet>
      <sheetData sheetId="0"/>
      <sheetData sheetId="1">
        <row r="5">
          <cell r="B5">
            <v>2019</v>
          </cell>
        </row>
        <row r="7">
          <cell r="C7" t="str">
            <v>Rangasamy A</v>
          </cell>
        </row>
        <row r="8">
          <cell r="C8" t="str">
            <v>C Ramasamy</v>
          </cell>
        </row>
        <row r="9">
          <cell r="C9" t="str">
            <v>V Chinnan</v>
          </cell>
        </row>
        <row r="10">
          <cell r="C10" t="str">
            <v>A Chinnasamy</v>
          </cell>
        </row>
        <row r="11">
          <cell r="C11" t="str">
            <v>Ponnusamy Kandhasamy</v>
          </cell>
        </row>
        <row r="12">
          <cell r="C12" t="str">
            <v>Vellaiappan Puravi</v>
          </cell>
        </row>
        <row r="13">
          <cell r="C13" t="str">
            <v>Suryaprakash</v>
          </cell>
        </row>
        <row r="14">
          <cell r="C14" t="str">
            <v>Sabapathi Marudhachalam</v>
          </cell>
        </row>
        <row r="15">
          <cell r="C15" t="str">
            <v>Santoshkumar</v>
          </cell>
        </row>
        <row r="16">
          <cell r="C16" t="str">
            <v>Renuka</v>
          </cell>
        </row>
        <row r="17">
          <cell r="C17" t="str">
            <v>Shanthi</v>
          </cell>
        </row>
        <row r="18">
          <cell r="C18" t="str">
            <v>Nagaraj R</v>
          </cell>
        </row>
        <row r="19">
          <cell r="C19" t="str">
            <v>Eswaran Thirumalaisamy</v>
          </cell>
        </row>
        <row r="20">
          <cell r="C20" t="str">
            <v>Subbulakshmi Murugan</v>
          </cell>
        </row>
        <row r="21">
          <cell r="C21" t="str">
            <v>K Muthusamy</v>
          </cell>
        </row>
        <row r="22">
          <cell r="C22" t="str">
            <v>Seethalakshmi E</v>
          </cell>
        </row>
        <row r="23">
          <cell r="C23" t="str">
            <v>Shanthamani Ranganathan</v>
          </cell>
        </row>
        <row r="24">
          <cell r="C24" t="str">
            <v>Karupayammal</v>
          </cell>
        </row>
        <row r="25">
          <cell r="C25" t="str">
            <v>Selvi S</v>
          </cell>
        </row>
      </sheetData>
      <sheetData sheetId="2">
        <row r="4">
          <cell r="D4" t="str">
            <v>Date Values</v>
          </cell>
        </row>
        <row r="5">
          <cell r="H5" t="str">
            <v>JANUARY</v>
          </cell>
        </row>
        <row r="6">
          <cell r="D6" t="str">
            <v>X</v>
          </cell>
          <cell r="H6" t="str">
            <v>FEBRUARY</v>
          </cell>
        </row>
        <row r="7">
          <cell r="D7" t="str">
            <v>CL</v>
          </cell>
          <cell r="H7" t="str">
            <v>MARCH</v>
          </cell>
        </row>
        <row r="8">
          <cell r="D8" t="str">
            <v>SL</v>
          </cell>
          <cell r="H8" t="str">
            <v>APRIL</v>
          </cell>
        </row>
        <row r="9">
          <cell r="D9" t="str">
            <v>FH</v>
          </cell>
          <cell r="H9" t="str">
            <v>MAY</v>
          </cell>
        </row>
        <row r="10">
          <cell r="D10" t="str">
            <v>NH</v>
          </cell>
          <cell r="H10" t="str">
            <v>JUNE</v>
          </cell>
        </row>
        <row r="11">
          <cell r="D11" t="str">
            <v>SH</v>
          </cell>
          <cell r="H11" t="str">
            <v>JULY</v>
          </cell>
        </row>
        <row r="12">
          <cell r="D12" t="str">
            <v>HWW</v>
          </cell>
          <cell r="H12" t="str">
            <v>AUGUST</v>
          </cell>
        </row>
        <row r="13">
          <cell r="D13" t="str">
            <v>ML</v>
          </cell>
          <cell r="H13" t="str">
            <v>SEPTEMBER</v>
          </cell>
        </row>
        <row r="14">
          <cell r="D14" t="str">
            <v>H</v>
          </cell>
          <cell r="H14" t="str">
            <v>OCTOBER</v>
          </cell>
        </row>
        <row r="15">
          <cell r="D15" t="str">
            <v>EL</v>
          </cell>
          <cell r="H15" t="str">
            <v>NOVEMBER</v>
          </cell>
        </row>
        <row r="16">
          <cell r="D16" t="str">
            <v>OL</v>
          </cell>
          <cell r="H16" t="str">
            <v>DECEMBER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48574"/>
  <sheetViews>
    <sheetView tabSelected="1" zoomScale="40" zoomScaleNormal="40" zoomScaleSheetLayoutView="40" workbookViewId="0">
      <selection activeCell="H30" sqref="H30"/>
    </sheetView>
  </sheetViews>
  <sheetFormatPr defaultColWidth="8.5546875" defaultRowHeight="30"/>
  <cols>
    <col min="1" max="1" width="9.33203125" style="190" customWidth="1"/>
    <col min="2" max="2" width="12.6640625" style="190" bestFit="1" customWidth="1"/>
    <col min="3" max="3" width="54.5546875" style="190" customWidth="1"/>
    <col min="4" max="4" width="51.109375" style="190" customWidth="1"/>
    <col min="5" max="5" width="16.33203125" style="190" customWidth="1"/>
    <col min="6" max="14" width="14.33203125" style="190" customWidth="1"/>
    <col min="15" max="15" width="18" style="190" customWidth="1"/>
    <col min="16" max="35" width="14.33203125" style="190" customWidth="1"/>
    <col min="36" max="36" width="18.109375" style="190" customWidth="1"/>
    <col min="37" max="37" width="19.5546875" style="190" customWidth="1"/>
    <col min="38" max="38" width="15.88671875" style="190" customWidth="1"/>
    <col min="39" max="16384" width="8.5546875" style="191"/>
  </cols>
  <sheetData>
    <row r="1" spans="1:72" ht="104.1" customHeight="1">
      <c r="A1" s="373" t="s">
        <v>0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 t="s">
        <v>1</v>
      </c>
      <c r="O1" s="373"/>
      <c r="P1" s="373"/>
      <c r="Q1" s="373"/>
      <c r="R1" s="374"/>
      <c r="S1" s="375">
        <v>46113</v>
      </c>
      <c r="T1" s="375"/>
      <c r="U1" s="375"/>
      <c r="V1" s="373" t="s">
        <v>2</v>
      </c>
      <c r="W1" s="373"/>
      <c r="X1" s="373"/>
      <c r="Y1" s="373"/>
      <c r="Z1" s="376" t="s">
        <v>3</v>
      </c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8"/>
    </row>
    <row r="2" spans="1:72" ht="120.75" customHeight="1">
      <c r="A2" s="379" t="s">
        <v>4</v>
      </c>
      <c r="B2" s="379"/>
      <c r="C2" s="379"/>
      <c r="D2" s="379"/>
      <c r="E2" s="380" t="s">
        <v>299</v>
      </c>
      <c r="F2" s="380"/>
      <c r="G2" s="380"/>
      <c r="H2" s="380"/>
      <c r="I2" s="380"/>
      <c r="J2" s="380"/>
      <c r="K2" s="380"/>
      <c r="L2" s="380"/>
      <c r="M2" s="380"/>
      <c r="N2" s="381" t="s">
        <v>266</v>
      </c>
      <c r="O2" s="381"/>
      <c r="P2" s="381"/>
      <c r="Q2" s="381"/>
      <c r="R2" s="381"/>
      <c r="S2" s="381"/>
      <c r="T2" s="381"/>
      <c r="U2" s="381"/>
      <c r="V2" s="379" t="s">
        <v>6</v>
      </c>
      <c r="W2" s="379"/>
      <c r="X2" s="379"/>
      <c r="Y2" s="379"/>
      <c r="Z2" s="379"/>
      <c r="AA2" s="379"/>
      <c r="AB2" s="379"/>
      <c r="AC2" s="379"/>
      <c r="AD2" s="379"/>
      <c r="AE2" s="379"/>
      <c r="AF2" s="379"/>
      <c r="AG2" s="379"/>
      <c r="AH2" s="379"/>
      <c r="AI2" s="379"/>
      <c r="AJ2" s="379"/>
      <c r="AK2" s="379"/>
      <c r="AL2" s="382"/>
    </row>
    <row r="3" spans="1:72" ht="60.6" customHeight="1">
      <c r="A3" s="383" t="s">
        <v>7</v>
      </c>
      <c r="B3" s="383" t="s">
        <v>8</v>
      </c>
      <c r="C3" s="383" t="s">
        <v>9</v>
      </c>
      <c r="D3" s="383" t="s">
        <v>10</v>
      </c>
      <c r="E3" s="384" t="s">
        <v>11</v>
      </c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6"/>
      <c r="AH3" s="386"/>
      <c r="AI3" s="386"/>
      <c r="AJ3" s="387" t="s">
        <v>12</v>
      </c>
      <c r="AK3" s="388" t="s">
        <v>13</v>
      </c>
      <c r="AL3" s="389" t="s">
        <v>14</v>
      </c>
    </row>
    <row r="4" spans="1:72" ht="60.6" customHeight="1" thickBot="1">
      <c r="A4" s="383"/>
      <c r="B4" s="383"/>
      <c r="C4" s="383"/>
      <c r="D4" s="383"/>
      <c r="E4" s="217">
        <v>1</v>
      </c>
      <c r="F4" s="217">
        <v>2</v>
      </c>
      <c r="G4" s="217">
        <v>3</v>
      </c>
      <c r="H4" s="217">
        <v>4</v>
      </c>
      <c r="I4" s="217">
        <v>5</v>
      </c>
      <c r="J4" s="217">
        <v>6</v>
      </c>
      <c r="K4" s="217">
        <v>7</v>
      </c>
      <c r="L4" s="217">
        <v>8</v>
      </c>
      <c r="M4" s="217">
        <v>9</v>
      </c>
      <c r="N4" s="217">
        <v>10</v>
      </c>
      <c r="O4" s="217">
        <v>11</v>
      </c>
      <c r="P4" s="217">
        <v>12</v>
      </c>
      <c r="Q4" s="217">
        <v>13</v>
      </c>
      <c r="R4" s="217">
        <v>14</v>
      </c>
      <c r="S4" s="217">
        <v>15</v>
      </c>
      <c r="T4" s="217">
        <v>16</v>
      </c>
      <c r="U4" s="217">
        <v>17</v>
      </c>
      <c r="V4" s="217">
        <v>18</v>
      </c>
      <c r="W4" s="217">
        <v>19</v>
      </c>
      <c r="X4" s="217">
        <v>20</v>
      </c>
      <c r="Y4" s="217">
        <v>21</v>
      </c>
      <c r="Z4" s="217">
        <v>22</v>
      </c>
      <c r="AA4" s="217">
        <v>23</v>
      </c>
      <c r="AB4" s="217">
        <v>24</v>
      </c>
      <c r="AC4" s="217">
        <v>25</v>
      </c>
      <c r="AD4" s="217">
        <v>26</v>
      </c>
      <c r="AE4" s="217">
        <v>27</v>
      </c>
      <c r="AF4" s="390">
        <v>28</v>
      </c>
      <c r="AG4" s="390">
        <v>29</v>
      </c>
      <c r="AH4" s="390">
        <v>30</v>
      </c>
      <c r="AI4" s="391"/>
      <c r="AJ4" s="392"/>
      <c r="AK4" s="388"/>
      <c r="AL4" s="389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</row>
    <row r="5" spans="1:72" ht="65.099999999999994" customHeight="1">
      <c r="A5" s="397">
        <v>1</v>
      </c>
      <c r="B5" s="393"/>
      <c r="C5" s="394"/>
      <c r="D5" s="192" t="s">
        <v>17</v>
      </c>
      <c r="E5" s="197"/>
      <c r="F5" s="371"/>
      <c r="G5" s="371"/>
      <c r="H5" s="371"/>
      <c r="I5" s="197"/>
      <c r="J5" s="371"/>
      <c r="K5" s="371"/>
      <c r="L5" s="371"/>
      <c r="M5" s="371"/>
      <c r="N5" s="371"/>
      <c r="O5" s="371"/>
      <c r="P5" s="197"/>
      <c r="Q5" s="371"/>
      <c r="R5" s="371"/>
      <c r="S5" s="371"/>
      <c r="T5" s="371"/>
      <c r="U5" s="371"/>
      <c r="V5" s="197"/>
      <c r="W5" s="371"/>
      <c r="X5" s="371"/>
      <c r="Y5" s="371"/>
      <c r="Z5" s="371"/>
      <c r="AA5" s="197"/>
      <c r="AB5" s="197"/>
      <c r="AC5" s="197"/>
      <c r="AD5" s="197"/>
      <c r="AE5" s="197"/>
      <c r="AF5" s="197"/>
      <c r="AG5" s="197"/>
      <c r="AH5" s="197"/>
      <c r="AI5" s="197"/>
      <c r="AJ5" s="234">
        <f>SUM(F7:AI7)</f>
        <v>0</v>
      </c>
      <c r="AK5" s="237">
        <f>COUNTIF(F7:AI7,"&gt;=8:00")</f>
        <v>0</v>
      </c>
      <c r="AL5" s="240">
        <f>SUM(F8:V8)</f>
        <v>0</v>
      </c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  <c r="BT5" s="223"/>
    </row>
    <row r="6" spans="1:72" ht="65.099999999999994" customHeight="1">
      <c r="A6" s="399"/>
      <c r="B6" s="400"/>
      <c r="C6" s="401"/>
      <c r="D6" s="192" t="s">
        <v>18</v>
      </c>
      <c r="E6" s="197"/>
      <c r="F6" s="372"/>
      <c r="G6" s="371"/>
      <c r="H6" s="371"/>
      <c r="I6" s="197"/>
      <c r="J6" s="371"/>
      <c r="K6" s="371"/>
      <c r="L6" s="371"/>
      <c r="M6" s="371"/>
      <c r="N6" s="371"/>
      <c r="O6" s="371"/>
      <c r="P6" s="197"/>
      <c r="Q6" s="371"/>
      <c r="R6" s="371"/>
      <c r="S6" s="371"/>
      <c r="T6" s="371"/>
      <c r="U6" s="371"/>
      <c r="V6" s="197"/>
      <c r="W6" s="371"/>
      <c r="X6" s="371"/>
      <c r="Y6" s="371"/>
      <c r="Z6" s="371"/>
      <c r="AA6" s="197"/>
      <c r="AB6" s="197"/>
      <c r="AC6" s="197"/>
      <c r="AD6" s="197"/>
      <c r="AE6" s="197"/>
      <c r="AF6" s="197"/>
      <c r="AG6" s="197"/>
      <c r="AH6" s="197"/>
      <c r="AI6" s="197"/>
      <c r="AJ6" s="235"/>
      <c r="AK6" s="238"/>
      <c r="AL6" s="241"/>
    </row>
    <row r="7" spans="1:72" ht="65.099999999999994" customHeight="1">
      <c r="A7" s="399"/>
      <c r="B7" s="400"/>
      <c r="C7" s="401"/>
      <c r="D7" s="192" t="s">
        <v>297</v>
      </c>
      <c r="E7" s="229">
        <f t="shared" ref="E7:F7" si="0">IF(E6&lt;E5,E6+1-E5,E6-E5)</f>
        <v>0</v>
      </c>
      <c r="F7" s="229">
        <f t="shared" si="0"/>
        <v>0</v>
      </c>
      <c r="G7" s="229">
        <f t="shared" ref="G7:I7" si="1">IF(G6&lt;G5,G6+1-G5,G6-G5)</f>
        <v>0</v>
      </c>
      <c r="H7" s="229">
        <f t="shared" si="1"/>
        <v>0</v>
      </c>
      <c r="I7" s="229">
        <f t="shared" si="1"/>
        <v>0</v>
      </c>
      <c r="J7" s="229">
        <f t="shared" ref="J7" si="2">IF(J6&lt;J5,J6+1-J5,J6-J5)</f>
        <v>0</v>
      </c>
      <c r="K7" s="229">
        <f t="shared" ref="K7" si="3">IF(K6&lt;K5,K6+1-K5,K6-K5)</f>
        <v>0</v>
      </c>
      <c r="L7" s="229">
        <f t="shared" ref="L7" si="4">IF(L6&lt;L5,L6+1-L5,L6-L5)</f>
        <v>0</v>
      </c>
      <c r="M7" s="229">
        <f t="shared" ref="M7" si="5">IF(M6&lt;M5,M6+1-M5,M6-M5)</f>
        <v>0</v>
      </c>
      <c r="N7" s="229">
        <f t="shared" ref="N7" si="6">IF(N6&lt;N5,N6+1-N5,N6-N5)</f>
        <v>0</v>
      </c>
      <c r="O7" s="229">
        <f t="shared" ref="O7:P7" si="7">IF(O6&lt;O5,O6+1-O5,O6-O5)</f>
        <v>0</v>
      </c>
      <c r="P7" s="229">
        <f t="shared" si="7"/>
        <v>0</v>
      </c>
      <c r="Q7" s="229">
        <f t="shared" ref="Q7" si="8">IF(Q6&lt;Q5,Q6+1-Q5,Q6-Q5)</f>
        <v>0</v>
      </c>
      <c r="R7" s="229">
        <f t="shared" ref="R7" si="9">IF(R6&lt;R5,R6+1-R5,R6-R5)</f>
        <v>0</v>
      </c>
      <c r="S7" s="229">
        <f t="shared" ref="S7" si="10">IF(S6&lt;S5,S6+1-S5,S6-S5)</f>
        <v>0</v>
      </c>
      <c r="T7" s="229">
        <f t="shared" ref="T7" si="11">IF(T6&lt;T5,T6+1-T5,T6-T5)</f>
        <v>0</v>
      </c>
      <c r="U7" s="229">
        <f>IF(U6&lt;U5,U6+1-U5,U6-U5)</f>
        <v>0</v>
      </c>
      <c r="V7" s="229">
        <f>IF(V6&lt;V5,V6+1-V5,V6-V5)</f>
        <v>0</v>
      </c>
      <c r="W7" s="229">
        <f t="shared" ref="W7" si="12">IF(W6&lt;W5,W6+1-W5,W6-W5)</f>
        <v>0</v>
      </c>
      <c r="X7" s="229">
        <f t="shared" ref="X7" si="13">IF(X6&lt;X5,X6+1-X5,X6-X5)</f>
        <v>0</v>
      </c>
      <c r="Y7" s="229">
        <f t="shared" ref="Y7" si="14">IF(Y6&lt;Y5,Y6+1-Y5,Y6-Y5)</f>
        <v>0</v>
      </c>
      <c r="Z7" s="229">
        <f t="shared" ref="Z7:AH7" si="15">IF(Z6&lt;Z5,Z6+1-Z5,Z6-Z5)</f>
        <v>0</v>
      </c>
      <c r="AA7" s="229">
        <f t="shared" si="15"/>
        <v>0</v>
      </c>
      <c r="AB7" s="229">
        <f t="shared" si="15"/>
        <v>0</v>
      </c>
      <c r="AC7" s="229">
        <f t="shared" si="15"/>
        <v>0</v>
      </c>
      <c r="AD7" s="229">
        <f t="shared" si="15"/>
        <v>0</v>
      </c>
      <c r="AE7" s="229">
        <f t="shared" si="15"/>
        <v>0</v>
      </c>
      <c r="AF7" s="229">
        <f t="shared" si="15"/>
        <v>0</v>
      </c>
      <c r="AG7" s="229">
        <f t="shared" si="15"/>
        <v>0</v>
      </c>
      <c r="AH7" s="229">
        <f t="shared" si="15"/>
        <v>0</v>
      </c>
      <c r="AI7" s="197"/>
      <c r="AJ7" s="235"/>
      <c r="AK7" s="238"/>
      <c r="AL7" s="241"/>
    </row>
    <row r="8" spans="1:72" ht="65.099999999999994" customHeight="1" thickBot="1">
      <c r="A8" s="398"/>
      <c r="B8" s="395"/>
      <c r="C8" s="396"/>
      <c r="D8" s="192" t="s">
        <v>298</v>
      </c>
      <c r="E8" s="230">
        <f t="shared" ref="E8:F8" si="16">IF(E7&gt;TIME(8,0,0),E7-TIME(8,0,0),0)</f>
        <v>0</v>
      </c>
      <c r="F8" s="230">
        <f t="shared" si="16"/>
        <v>0</v>
      </c>
      <c r="G8" s="230">
        <f t="shared" ref="G8" si="17">IF(G7&gt;TIME(8,0,0),G7-TIME(8,0,0),0)</f>
        <v>0</v>
      </c>
      <c r="H8" s="230">
        <f t="shared" ref="H8:I8" si="18">IF(H7&gt;TIME(8,0,0),H7-TIME(8,0,0),0)</f>
        <v>0</v>
      </c>
      <c r="I8" s="230">
        <f t="shared" si="18"/>
        <v>0</v>
      </c>
      <c r="J8" s="230">
        <f t="shared" ref="J8" si="19">IF(J7&gt;TIME(8,0,0),J7-TIME(8,0,0),0)</f>
        <v>0</v>
      </c>
      <c r="K8" s="230">
        <f t="shared" ref="K8" si="20">IF(K7&gt;TIME(8,0,0),K7-TIME(8,0,0),0)</f>
        <v>0</v>
      </c>
      <c r="L8" s="230">
        <f t="shared" ref="L8" si="21">IF(L7&gt;TIME(8,0,0),L7-TIME(8,0,0),0)</f>
        <v>0</v>
      </c>
      <c r="M8" s="230">
        <f t="shared" ref="M8" si="22">IF(M7&gt;TIME(8,0,0),M7-TIME(8,0,0),0)</f>
        <v>0</v>
      </c>
      <c r="N8" s="230">
        <f t="shared" ref="N8" si="23">IF(N7&gt;TIME(8,0,0),N7-TIME(8,0,0),0)</f>
        <v>0</v>
      </c>
      <c r="O8" s="230">
        <f t="shared" ref="O8:P8" si="24">IF(O7&gt;TIME(8,0,0),O7-TIME(8,0,0),0)</f>
        <v>0</v>
      </c>
      <c r="P8" s="230">
        <f t="shared" si="24"/>
        <v>0</v>
      </c>
      <c r="Q8" s="230">
        <f t="shared" ref="Q8" si="25">IF(Q7&gt;TIME(8,0,0),Q7-TIME(8,0,0),0)</f>
        <v>0</v>
      </c>
      <c r="R8" s="230">
        <f t="shared" ref="R8" si="26">IF(R7&gt;TIME(8,0,0),R7-TIME(8,0,0),0)</f>
        <v>0</v>
      </c>
      <c r="S8" s="230">
        <f t="shared" ref="S8" si="27">IF(S7&gt;TIME(8,0,0),S7-TIME(8,0,0),0)</f>
        <v>0</v>
      </c>
      <c r="T8" s="230">
        <f t="shared" ref="T8" si="28">IF(T7&gt;TIME(8,0,0),T7-TIME(8,0,0),0)</f>
        <v>0</v>
      </c>
      <c r="U8" s="230">
        <f t="shared" ref="U8:V8" si="29">IF(U7&gt;TIME(8,0,0),U7-TIME(8,0,0),0)</f>
        <v>0</v>
      </c>
      <c r="V8" s="230">
        <f t="shared" si="29"/>
        <v>0</v>
      </c>
      <c r="W8" s="230">
        <f t="shared" ref="W8" si="30">IF(W7&gt;TIME(8,0,0),W7-TIME(8,0,0),0)</f>
        <v>0</v>
      </c>
      <c r="X8" s="230">
        <f t="shared" ref="X8" si="31">IF(X7&gt;TIME(8,0,0),X7-TIME(8,0,0),0)</f>
        <v>0</v>
      </c>
      <c r="Y8" s="230">
        <f t="shared" ref="Y8" si="32">IF(Y7&gt;TIME(8,0,0),Y7-TIME(8,0,0),0)</f>
        <v>0</v>
      </c>
      <c r="Z8" s="230">
        <f t="shared" ref="Z8:AH8" si="33">IF(Z7&gt;TIME(8,0,0),Z7-TIME(8,0,0),0)</f>
        <v>0</v>
      </c>
      <c r="AA8" s="230">
        <f t="shared" si="33"/>
        <v>0</v>
      </c>
      <c r="AB8" s="230">
        <f t="shared" si="33"/>
        <v>0</v>
      </c>
      <c r="AC8" s="230">
        <f t="shared" si="33"/>
        <v>0</v>
      </c>
      <c r="AD8" s="230">
        <f t="shared" si="33"/>
        <v>0</v>
      </c>
      <c r="AE8" s="230">
        <f t="shared" si="33"/>
        <v>0</v>
      </c>
      <c r="AF8" s="230">
        <f t="shared" si="33"/>
        <v>0</v>
      </c>
      <c r="AG8" s="230">
        <f t="shared" si="33"/>
        <v>0</v>
      </c>
      <c r="AH8" s="230">
        <f t="shared" si="33"/>
        <v>0</v>
      </c>
      <c r="AI8" s="197"/>
      <c r="AJ8" s="236"/>
      <c r="AK8" s="239"/>
      <c r="AL8" s="242"/>
    </row>
    <row r="9" spans="1:72" ht="65.099999999999994" customHeight="1">
      <c r="A9" s="397">
        <v>2</v>
      </c>
      <c r="B9" s="393"/>
      <c r="C9" s="394"/>
      <c r="D9" s="192" t="s">
        <v>17</v>
      </c>
      <c r="E9" s="371"/>
      <c r="F9" s="371"/>
      <c r="G9" s="197"/>
      <c r="H9" s="371"/>
      <c r="I9" s="371"/>
      <c r="J9" s="197"/>
      <c r="K9" s="371"/>
      <c r="L9" s="371"/>
      <c r="M9" s="371"/>
      <c r="N9" s="371"/>
      <c r="O9" s="371"/>
      <c r="P9" s="371"/>
      <c r="Q9" s="197"/>
      <c r="R9" s="371"/>
      <c r="S9" s="371"/>
      <c r="T9" s="371"/>
      <c r="U9" s="371"/>
      <c r="V9" s="371"/>
      <c r="W9" s="371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234">
        <f>SUM(F11:AI11)</f>
        <v>0</v>
      </c>
      <c r="AK9" s="237">
        <f>COUNTIF(F11:AI11,"&gt;=8:00")</f>
        <v>0</v>
      </c>
      <c r="AL9" s="240">
        <f>SUM(F12:V12)</f>
        <v>0</v>
      </c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223"/>
      <c r="BR9" s="223"/>
      <c r="BS9" s="223"/>
      <c r="BT9" s="223"/>
    </row>
    <row r="10" spans="1:72" ht="65.099999999999994" customHeight="1">
      <c r="A10" s="399"/>
      <c r="B10" s="400"/>
      <c r="C10" s="401"/>
      <c r="D10" s="192" t="s">
        <v>18</v>
      </c>
      <c r="E10" s="371"/>
      <c r="F10" s="371"/>
      <c r="G10" s="197"/>
      <c r="H10" s="371"/>
      <c r="I10" s="371"/>
      <c r="J10" s="197"/>
      <c r="K10" s="371"/>
      <c r="L10" s="371"/>
      <c r="M10" s="371"/>
      <c r="N10" s="371"/>
      <c r="O10" s="371"/>
      <c r="P10" s="371"/>
      <c r="Q10" s="197"/>
      <c r="R10" s="371"/>
      <c r="S10" s="371"/>
      <c r="T10" s="371"/>
      <c r="U10" s="371"/>
      <c r="V10" s="371"/>
      <c r="W10" s="371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235"/>
      <c r="AK10" s="238"/>
      <c r="AL10" s="241"/>
    </row>
    <row r="11" spans="1:72" ht="65.099999999999994" customHeight="1">
      <c r="A11" s="399"/>
      <c r="B11" s="400"/>
      <c r="C11" s="401"/>
      <c r="D11" s="192" t="s">
        <v>297</v>
      </c>
      <c r="E11" s="229">
        <f t="shared" ref="E11:T15" si="34">IF(E10&lt;E9,E10+1-E9,E10-E9)</f>
        <v>0</v>
      </c>
      <c r="F11" s="229">
        <f t="shared" ref="F11:G11" si="35">IF(F10&lt;F9,F10+1-F9,F10-F9)</f>
        <v>0</v>
      </c>
      <c r="G11" s="229">
        <f t="shared" si="35"/>
        <v>0</v>
      </c>
      <c r="H11" s="229">
        <f t="shared" ref="H11" si="36">IF(H10&lt;H9,H10+1-H9,H10-H9)</f>
        <v>0</v>
      </c>
      <c r="I11" s="229">
        <f t="shared" ref="I11:AH11" si="37">IF(I10&lt;I9,I10+1-I9,I10-I9)</f>
        <v>0</v>
      </c>
      <c r="J11" s="229">
        <f t="shared" si="37"/>
        <v>0</v>
      </c>
      <c r="K11" s="229">
        <f t="shared" si="37"/>
        <v>0</v>
      </c>
      <c r="L11" s="229">
        <f t="shared" si="37"/>
        <v>0</v>
      </c>
      <c r="M11" s="229">
        <f t="shared" si="37"/>
        <v>0</v>
      </c>
      <c r="N11" s="229">
        <f t="shared" si="37"/>
        <v>0</v>
      </c>
      <c r="O11" s="229">
        <f t="shared" si="37"/>
        <v>0</v>
      </c>
      <c r="P11" s="229">
        <f t="shared" si="37"/>
        <v>0</v>
      </c>
      <c r="Q11" s="229">
        <f t="shared" si="37"/>
        <v>0</v>
      </c>
      <c r="R11" s="229">
        <f t="shared" si="37"/>
        <v>0</v>
      </c>
      <c r="S11" s="229">
        <f t="shared" si="37"/>
        <v>0</v>
      </c>
      <c r="T11" s="229">
        <f t="shared" si="37"/>
        <v>0</v>
      </c>
      <c r="U11" s="229">
        <f t="shared" si="37"/>
        <v>0</v>
      </c>
      <c r="V11" s="229">
        <f t="shared" si="37"/>
        <v>0</v>
      </c>
      <c r="W11" s="229">
        <f t="shared" si="37"/>
        <v>0</v>
      </c>
      <c r="X11" s="229">
        <f t="shared" si="37"/>
        <v>0</v>
      </c>
      <c r="Y11" s="229">
        <f t="shared" si="37"/>
        <v>0</v>
      </c>
      <c r="Z11" s="229">
        <f t="shared" si="37"/>
        <v>0</v>
      </c>
      <c r="AA11" s="229">
        <f t="shared" si="37"/>
        <v>0</v>
      </c>
      <c r="AB11" s="229">
        <f t="shared" si="37"/>
        <v>0</v>
      </c>
      <c r="AC11" s="229">
        <f t="shared" si="37"/>
        <v>0</v>
      </c>
      <c r="AD11" s="229">
        <f t="shared" si="37"/>
        <v>0</v>
      </c>
      <c r="AE11" s="229">
        <f t="shared" si="37"/>
        <v>0</v>
      </c>
      <c r="AF11" s="229">
        <f t="shared" si="37"/>
        <v>0</v>
      </c>
      <c r="AG11" s="229">
        <f t="shared" si="37"/>
        <v>0</v>
      </c>
      <c r="AH11" s="229">
        <f t="shared" si="37"/>
        <v>0</v>
      </c>
      <c r="AI11" s="197"/>
      <c r="AJ11" s="235"/>
      <c r="AK11" s="238"/>
      <c r="AL11" s="241"/>
    </row>
    <row r="12" spans="1:72" ht="65.099999999999994" customHeight="1" thickBot="1">
      <c r="A12" s="398"/>
      <c r="B12" s="395"/>
      <c r="C12" s="396"/>
      <c r="D12" s="192" t="s">
        <v>298</v>
      </c>
      <c r="E12" s="230">
        <f t="shared" ref="E12:T16" si="38">IF(E11&gt;TIME(8,0,0),E11-TIME(8,0,0),0)</f>
        <v>0</v>
      </c>
      <c r="F12" s="230">
        <f t="shared" ref="F12:G12" si="39">IF(F11&gt;TIME(8,0,0),F11-TIME(8,0,0),0)</f>
        <v>0</v>
      </c>
      <c r="G12" s="230">
        <f t="shared" si="39"/>
        <v>0</v>
      </c>
      <c r="H12" s="230">
        <f t="shared" ref="H12" si="40">IF(H11&gt;TIME(8,0,0),H11-TIME(8,0,0),0)</f>
        <v>0</v>
      </c>
      <c r="I12" s="230">
        <f t="shared" ref="I12:AH12" si="41">IF(I11&gt;TIME(8,0,0),I11-TIME(8,0,0),0)</f>
        <v>0</v>
      </c>
      <c r="J12" s="230">
        <f t="shared" si="41"/>
        <v>0</v>
      </c>
      <c r="K12" s="230">
        <f t="shared" si="41"/>
        <v>0</v>
      </c>
      <c r="L12" s="230">
        <f t="shared" si="41"/>
        <v>0</v>
      </c>
      <c r="M12" s="230">
        <f t="shared" si="41"/>
        <v>0</v>
      </c>
      <c r="N12" s="230">
        <f t="shared" si="41"/>
        <v>0</v>
      </c>
      <c r="O12" s="230">
        <f t="shared" si="41"/>
        <v>0</v>
      </c>
      <c r="P12" s="230">
        <f t="shared" si="41"/>
        <v>0</v>
      </c>
      <c r="Q12" s="230">
        <f t="shared" si="41"/>
        <v>0</v>
      </c>
      <c r="R12" s="230">
        <f t="shared" si="41"/>
        <v>0</v>
      </c>
      <c r="S12" s="230">
        <f t="shared" si="41"/>
        <v>0</v>
      </c>
      <c r="T12" s="230">
        <f t="shared" si="41"/>
        <v>0</v>
      </c>
      <c r="U12" s="230">
        <f t="shared" si="41"/>
        <v>0</v>
      </c>
      <c r="V12" s="230">
        <f t="shared" si="41"/>
        <v>0</v>
      </c>
      <c r="W12" s="230">
        <f t="shared" si="41"/>
        <v>0</v>
      </c>
      <c r="X12" s="230">
        <f t="shared" si="41"/>
        <v>0</v>
      </c>
      <c r="Y12" s="230">
        <f t="shared" si="41"/>
        <v>0</v>
      </c>
      <c r="Z12" s="230">
        <f t="shared" si="41"/>
        <v>0</v>
      </c>
      <c r="AA12" s="230">
        <f t="shared" si="41"/>
        <v>0</v>
      </c>
      <c r="AB12" s="230">
        <f t="shared" si="41"/>
        <v>0</v>
      </c>
      <c r="AC12" s="230">
        <f t="shared" si="41"/>
        <v>0</v>
      </c>
      <c r="AD12" s="230">
        <f t="shared" si="41"/>
        <v>0</v>
      </c>
      <c r="AE12" s="230">
        <f t="shared" si="41"/>
        <v>0</v>
      </c>
      <c r="AF12" s="230">
        <f t="shared" si="41"/>
        <v>0</v>
      </c>
      <c r="AG12" s="230">
        <f t="shared" si="41"/>
        <v>0</v>
      </c>
      <c r="AH12" s="230">
        <f t="shared" si="41"/>
        <v>0</v>
      </c>
      <c r="AI12" s="197"/>
      <c r="AJ12" s="236"/>
      <c r="AK12" s="239"/>
      <c r="AL12" s="242"/>
    </row>
    <row r="13" spans="1:72" ht="65.099999999999994" customHeight="1">
      <c r="A13" s="397">
        <v>3</v>
      </c>
      <c r="B13" s="393"/>
      <c r="C13" s="394"/>
      <c r="D13" s="192" t="s">
        <v>17</v>
      </c>
      <c r="E13" s="229"/>
      <c r="F13" s="218"/>
      <c r="G13" s="218"/>
      <c r="H13" s="197"/>
      <c r="I13" s="197"/>
      <c r="J13" s="197"/>
      <c r="K13" s="197"/>
      <c r="L13" s="197"/>
      <c r="M13" s="197"/>
      <c r="N13" s="196"/>
      <c r="O13" s="197"/>
      <c r="P13" s="196"/>
      <c r="Q13" s="196"/>
      <c r="R13" s="196"/>
      <c r="S13" s="196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234">
        <f t="shared" ref="AJ13" si="42">SUM(F15:AI15)</f>
        <v>0</v>
      </c>
      <c r="AK13" s="237">
        <f t="shared" ref="AK13" si="43">COUNTIF(F15:AI15,"&gt;=8:00")</f>
        <v>0</v>
      </c>
      <c r="AL13" s="240">
        <f t="shared" ref="AL13" si="44">SUM(F16:V16)</f>
        <v>0</v>
      </c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</row>
    <row r="14" spans="1:72" ht="65.099999999999994" customHeight="1">
      <c r="A14" s="399"/>
      <c r="B14" s="400"/>
      <c r="C14" s="401"/>
      <c r="D14" s="192" t="s">
        <v>18</v>
      </c>
      <c r="E14" s="230"/>
      <c r="F14" s="196"/>
      <c r="G14" s="196"/>
      <c r="H14" s="197"/>
      <c r="I14" s="197"/>
      <c r="J14" s="197"/>
      <c r="K14" s="197"/>
      <c r="L14" s="197"/>
      <c r="M14" s="197"/>
      <c r="N14" s="196"/>
      <c r="O14" s="197"/>
      <c r="P14" s="196"/>
      <c r="Q14" s="196"/>
      <c r="R14" s="196"/>
      <c r="S14" s="196"/>
      <c r="T14" s="196"/>
      <c r="U14" s="196"/>
      <c r="V14" s="196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235"/>
      <c r="AK14" s="238"/>
      <c r="AL14" s="241"/>
    </row>
    <row r="15" spans="1:72" ht="65.099999999999994" customHeight="1">
      <c r="A15" s="399"/>
      <c r="B15" s="400"/>
      <c r="C15" s="401"/>
      <c r="D15" s="192" t="s">
        <v>297</v>
      </c>
      <c r="E15" s="229">
        <f t="shared" si="34"/>
        <v>0</v>
      </c>
      <c r="F15" s="229">
        <f t="shared" si="34"/>
        <v>0</v>
      </c>
      <c r="G15" s="229">
        <f t="shared" si="34"/>
        <v>0</v>
      </c>
      <c r="H15" s="229">
        <f t="shared" si="34"/>
        <v>0</v>
      </c>
      <c r="I15" s="229">
        <f t="shared" si="34"/>
        <v>0</v>
      </c>
      <c r="J15" s="229">
        <f t="shared" si="34"/>
        <v>0</v>
      </c>
      <c r="K15" s="229">
        <f t="shared" si="34"/>
        <v>0</v>
      </c>
      <c r="L15" s="229">
        <f t="shared" si="34"/>
        <v>0</v>
      </c>
      <c r="M15" s="229">
        <f t="shared" si="34"/>
        <v>0</v>
      </c>
      <c r="N15" s="229">
        <f t="shared" si="34"/>
        <v>0</v>
      </c>
      <c r="O15" s="229">
        <f t="shared" si="34"/>
        <v>0</v>
      </c>
      <c r="P15" s="229">
        <f t="shared" si="34"/>
        <v>0</v>
      </c>
      <c r="Q15" s="229">
        <f t="shared" si="34"/>
        <v>0</v>
      </c>
      <c r="R15" s="229">
        <f t="shared" si="34"/>
        <v>0</v>
      </c>
      <c r="S15" s="229">
        <f t="shared" si="34"/>
        <v>0</v>
      </c>
      <c r="T15" s="229">
        <f t="shared" si="34"/>
        <v>0</v>
      </c>
      <c r="U15" s="229">
        <f t="shared" ref="U15:AH15" si="45">IF(U14&lt;U13,U14+1-U13,U14-U13)</f>
        <v>0</v>
      </c>
      <c r="V15" s="229">
        <f t="shared" si="45"/>
        <v>0</v>
      </c>
      <c r="W15" s="229">
        <f t="shared" si="45"/>
        <v>0</v>
      </c>
      <c r="X15" s="229">
        <f t="shared" si="45"/>
        <v>0</v>
      </c>
      <c r="Y15" s="229">
        <f t="shared" si="45"/>
        <v>0</v>
      </c>
      <c r="Z15" s="229">
        <f t="shared" si="45"/>
        <v>0</v>
      </c>
      <c r="AA15" s="229">
        <f t="shared" si="45"/>
        <v>0</v>
      </c>
      <c r="AB15" s="229">
        <f t="shared" si="45"/>
        <v>0</v>
      </c>
      <c r="AC15" s="229">
        <f t="shared" si="45"/>
        <v>0</v>
      </c>
      <c r="AD15" s="229">
        <f t="shared" si="45"/>
        <v>0</v>
      </c>
      <c r="AE15" s="229">
        <f t="shared" si="45"/>
        <v>0</v>
      </c>
      <c r="AF15" s="229">
        <f t="shared" si="45"/>
        <v>0</v>
      </c>
      <c r="AG15" s="229">
        <f t="shared" si="45"/>
        <v>0</v>
      </c>
      <c r="AH15" s="229">
        <f t="shared" si="45"/>
        <v>0</v>
      </c>
      <c r="AI15" s="197"/>
      <c r="AJ15" s="235"/>
      <c r="AK15" s="238"/>
      <c r="AL15" s="241"/>
    </row>
    <row r="16" spans="1:72" ht="65.099999999999994" customHeight="1" thickBot="1">
      <c r="A16" s="398"/>
      <c r="B16" s="395"/>
      <c r="C16" s="396"/>
      <c r="D16" s="192" t="s">
        <v>298</v>
      </c>
      <c r="E16" s="230">
        <f t="shared" si="38"/>
        <v>0</v>
      </c>
      <c r="F16" s="230">
        <f t="shared" si="38"/>
        <v>0</v>
      </c>
      <c r="G16" s="230">
        <f t="shared" si="38"/>
        <v>0</v>
      </c>
      <c r="H16" s="230">
        <f t="shared" si="38"/>
        <v>0</v>
      </c>
      <c r="I16" s="230">
        <f t="shared" si="38"/>
        <v>0</v>
      </c>
      <c r="J16" s="230">
        <f t="shared" si="38"/>
        <v>0</v>
      </c>
      <c r="K16" s="230">
        <f t="shared" si="38"/>
        <v>0</v>
      </c>
      <c r="L16" s="230">
        <f t="shared" si="38"/>
        <v>0</v>
      </c>
      <c r="M16" s="230">
        <f t="shared" si="38"/>
        <v>0</v>
      </c>
      <c r="N16" s="230">
        <f t="shared" si="38"/>
        <v>0</v>
      </c>
      <c r="O16" s="230">
        <f t="shared" si="38"/>
        <v>0</v>
      </c>
      <c r="P16" s="230">
        <f t="shared" si="38"/>
        <v>0</v>
      </c>
      <c r="Q16" s="230">
        <f t="shared" si="38"/>
        <v>0</v>
      </c>
      <c r="R16" s="230">
        <f t="shared" si="38"/>
        <v>0</v>
      </c>
      <c r="S16" s="230">
        <f t="shared" si="38"/>
        <v>0</v>
      </c>
      <c r="T16" s="230">
        <f t="shared" si="38"/>
        <v>0</v>
      </c>
      <c r="U16" s="230">
        <f t="shared" ref="U16:AH16" si="46">IF(U15&gt;TIME(8,0,0),U15-TIME(8,0,0),0)</f>
        <v>0</v>
      </c>
      <c r="V16" s="230">
        <f t="shared" si="46"/>
        <v>0</v>
      </c>
      <c r="W16" s="230">
        <f t="shared" si="46"/>
        <v>0</v>
      </c>
      <c r="X16" s="230">
        <f t="shared" si="46"/>
        <v>0</v>
      </c>
      <c r="Y16" s="230">
        <f t="shared" si="46"/>
        <v>0</v>
      </c>
      <c r="Z16" s="230">
        <f t="shared" si="46"/>
        <v>0</v>
      </c>
      <c r="AA16" s="230">
        <f t="shared" si="46"/>
        <v>0</v>
      </c>
      <c r="AB16" s="230">
        <f t="shared" si="46"/>
        <v>0</v>
      </c>
      <c r="AC16" s="230">
        <f t="shared" si="46"/>
        <v>0</v>
      </c>
      <c r="AD16" s="230">
        <f t="shared" si="46"/>
        <v>0</v>
      </c>
      <c r="AE16" s="230">
        <f t="shared" si="46"/>
        <v>0</v>
      </c>
      <c r="AF16" s="230">
        <f t="shared" si="46"/>
        <v>0</v>
      </c>
      <c r="AG16" s="230">
        <f t="shared" si="46"/>
        <v>0</v>
      </c>
      <c r="AH16" s="230">
        <f t="shared" si="46"/>
        <v>0</v>
      </c>
      <c r="AI16" s="197"/>
      <c r="AJ16" s="236"/>
      <c r="AK16" s="239"/>
      <c r="AL16" s="242"/>
    </row>
    <row r="17" spans="1:72" ht="65.099999999999994" customHeight="1">
      <c r="A17" s="397">
        <v>4</v>
      </c>
      <c r="B17" s="393"/>
      <c r="C17" s="394"/>
      <c r="D17" s="192" t="s">
        <v>17</v>
      </c>
      <c r="E17" s="405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227"/>
      <c r="Y17" s="227"/>
      <c r="Z17" s="227"/>
      <c r="AA17" s="369"/>
      <c r="AB17" s="227"/>
      <c r="AC17" s="227"/>
      <c r="AD17" s="227"/>
      <c r="AE17" s="369"/>
      <c r="AF17" s="227"/>
      <c r="AG17" s="227"/>
      <c r="AH17" s="227"/>
      <c r="AI17" s="227"/>
      <c r="AJ17" s="234">
        <f t="shared" ref="AJ17" si="47">SUM(F19:AI19)</f>
        <v>0</v>
      </c>
      <c r="AK17" s="237">
        <f t="shared" ref="AK17" si="48">COUNTIF(F19:AI19,"&gt;=8:00")</f>
        <v>0</v>
      </c>
      <c r="AL17" s="240">
        <f t="shared" ref="AL17" si="49">SUM(F20:V20)</f>
        <v>0</v>
      </c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</row>
    <row r="18" spans="1:72" ht="65.099999999999994" customHeight="1">
      <c r="A18" s="399"/>
      <c r="B18" s="400"/>
      <c r="C18" s="401"/>
      <c r="D18" s="402" t="s">
        <v>18</v>
      </c>
      <c r="E18" s="406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228"/>
      <c r="Y18" s="228"/>
      <c r="Z18" s="228"/>
      <c r="AA18" s="369"/>
      <c r="AB18" s="228"/>
      <c r="AC18" s="228"/>
      <c r="AD18" s="228"/>
      <c r="AE18" s="369"/>
      <c r="AF18" s="228"/>
      <c r="AG18" s="228"/>
      <c r="AH18" s="228"/>
      <c r="AI18" s="228"/>
      <c r="AJ18" s="235"/>
      <c r="AK18" s="238"/>
      <c r="AL18" s="241"/>
    </row>
    <row r="19" spans="1:72" s="407" customFormat="1" ht="65.099999999999994" customHeight="1">
      <c r="A19" s="399"/>
      <c r="B19" s="400"/>
      <c r="C19" s="401"/>
      <c r="D19" s="192" t="s">
        <v>297</v>
      </c>
      <c r="E19" s="229">
        <f t="shared" ref="E19:AH19" si="50">IF(E18&lt;E17,E18+1-E17,E18-E17)</f>
        <v>0</v>
      </c>
      <c r="F19" s="229">
        <f t="shared" si="50"/>
        <v>0</v>
      </c>
      <c r="G19" s="229">
        <f t="shared" si="50"/>
        <v>0</v>
      </c>
      <c r="H19" s="229">
        <f t="shared" si="50"/>
        <v>0</v>
      </c>
      <c r="I19" s="229">
        <f t="shared" si="50"/>
        <v>0</v>
      </c>
      <c r="J19" s="229">
        <f t="shared" si="50"/>
        <v>0</v>
      </c>
      <c r="K19" s="229">
        <f t="shared" si="50"/>
        <v>0</v>
      </c>
      <c r="L19" s="229">
        <f t="shared" si="50"/>
        <v>0</v>
      </c>
      <c r="M19" s="229">
        <f t="shared" si="50"/>
        <v>0</v>
      </c>
      <c r="N19" s="229">
        <f t="shared" si="50"/>
        <v>0</v>
      </c>
      <c r="O19" s="229">
        <f t="shared" si="50"/>
        <v>0</v>
      </c>
      <c r="P19" s="229">
        <f t="shared" si="50"/>
        <v>0</v>
      </c>
      <c r="Q19" s="229">
        <f t="shared" si="50"/>
        <v>0</v>
      </c>
      <c r="R19" s="229">
        <f t="shared" si="50"/>
        <v>0</v>
      </c>
      <c r="S19" s="229">
        <f t="shared" si="50"/>
        <v>0</v>
      </c>
      <c r="T19" s="229">
        <f t="shared" si="50"/>
        <v>0</v>
      </c>
      <c r="U19" s="229">
        <f t="shared" si="50"/>
        <v>0</v>
      </c>
      <c r="V19" s="229">
        <f t="shared" si="50"/>
        <v>0</v>
      </c>
      <c r="W19" s="229">
        <f t="shared" si="50"/>
        <v>0</v>
      </c>
      <c r="X19" s="229">
        <f t="shared" si="50"/>
        <v>0</v>
      </c>
      <c r="Y19" s="229">
        <f t="shared" si="50"/>
        <v>0</v>
      </c>
      <c r="Z19" s="229">
        <f t="shared" si="50"/>
        <v>0</v>
      </c>
      <c r="AA19" s="229">
        <f t="shared" si="50"/>
        <v>0</v>
      </c>
      <c r="AB19" s="229">
        <f t="shared" si="50"/>
        <v>0</v>
      </c>
      <c r="AC19" s="229">
        <f t="shared" si="50"/>
        <v>0</v>
      </c>
      <c r="AD19" s="229">
        <f t="shared" si="50"/>
        <v>0</v>
      </c>
      <c r="AE19" s="229">
        <f t="shared" si="50"/>
        <v>0</v>
      </c>
      <c r="AF19" s="229">
        <f t="shared" si="50"/>
        <v>0</v>
      </c>
      <c r="AG19" s="229">
        <f t="shared" si="50"/>
        <v>0</v>
      </c>
      <c r="AH19" s="229">
        <f t="shared" si="50"/>
        <v>0</v>
      </c>
      <c r="AI19" s="227"/>
      <c r="AJ19" s="235"/>
      <c r="AK19" s="238"/>
      <c r="AL19" s="241"/>
    </row>
    <row r="20" spans="1:72" s="407" customFormat="1" ht="65.099999999999994" customHeight="1" thickBot="1">
      <c r="A20" s="398"/>
      <c r="B20" s="395"/>
      <c r="C20" s="396"/>
      <c r="D20" s="192" t="s">
        <v>298</v>
      </c>
      <c r="E20" s="230">
        <f t="shared" ref="E20:AH20" si="51">IF(E19&gt;TIME(8,0,0),E19-TIME(8,0,0),0)</f>
        <v>0</v>
      </c>
      <c r="F20" s="230">
        <f t="shared" si="51"/>
        <v>0</v>
      </c>
      <c r="G20" s="230">
        <f t="shared" si="51"/>
        <v>0</v>
      </c>
      <c r="H20" s="230">
        <f t="shared" si="51"/>
        <v>0</v>
      </c>
      <c r="I20" s="230">
        <f t="shared" si="51"/>
        <v>0</v>
      </c>
      <c r="J20" s="230">
        <f t="shared" si="51"/>
        <v>0</v>
      </c>
      <c r="K20" s="230">
        <f t="shared" si="51"/>
        <v>0</v>
      </c>
      <c r="L20" s="230">
        <f t="shared" si="51"/>
        <v>0</v>
      </c>
      <c r="M20" s="230">
        <f t="shared" si="51"/>
        <v>0</v>
      </c>
      <c r="N20" s="230">
        <f t="shared" si="51"/>
        <v>0</v>
      </c>
      <c r="O20" s="230">
        <f t="shared" si="51"/>
        <v>0</v>
      </c>
      <c r="P20" s="230">
        <f t="shared" si="51"/>
        <v>0</v>
      </c>
      <c r="Q20" s="230">
        <f t="shared" si="51"/>
        <v>0</v>
      </c>
      <c r="R20" s="230">
        <f t="shared" si="51"/>
        <v>0</v>
      </c>
      <c r="S20" s="230">
        <f t="shared" si="51"/>
        <v>0</v>
      </c>
      <c r="T20" s="230">
        <f t="shared" si="51"/>
        <v>0</v>
      </c>
      <c r="U20" s="230">
        <f t="shared" si="51"/>
        <v>0</v>
      </c>
      <c r="V20" s="230">
        <f t="shared" si="51"/>
        <v>0</v>
      </c>
      <c r="W20" s="230">
        <f t="shared" si="51"/>
        <v>0</v>
      </c>
      <c r="X20" s="230">
        <f t="shared" si="51"/>
        <v>0</v>
      </c>
      <c r="Y20" s="230">
        <f t="shared" si="51"/>
        <v>0</v>
      </c>
      <c r="Z20" s="230">
        <f t="shared" si="51"/>
        <v>0</v>
      </c>
      <c r="AA20" s="230">
        <f t="shared" si="51"/>
        <v>0</v>
      </c>
      <c r="AB20" s="230">
        <f t="shared" si="51"/>
        <v>0</v>
      </c>
      <c r="AC20" s="230">
        <f t="shared" si="51"/>
        <v>0</v>
      </c>
      <c r="AD20" s="230">
        <f t="shared" si="51"/>
        <v>0</v>
      </c>
      <c r="AE20" s="230">
        <f t="shared" si="51"/>
        <v>0</v>
      </c>
      <c r="AF20" s="230">
        <f t="shared" si="51"/>
        <v>0</v>
      </c>
      <c r="AG20" s="230">
        <f t="shared" si="51"/>
        <v>0</v>
      </c>
      <c r="AH20" s="230">
        <f t="shared" si="51"/>
        <v>0</v>
      </c>
      <c r="AI20" s="227"/>
      <c r="AJ20" s="236"/>
      <c r="AK20" s="239"/>
      <c r="AL20" s="242"/>
    </row>
    <row r="21" spans="1:72" s="224" customFormat="1" ht="59.25" customHeight="1">
      <c r="A21" s="403" t="s">
        <v>280</v>
      </c>
      <c r="B21" s="404"/>
      <c r="C21" s="404"/>
      <c r="D21" s="404"/>
      <c r="E21" s="404"/>
      <c r="F21" s="404"/>
      <c r="G21" s="404"/>
      <c r="H21" s="404"/>
      <c r="I21" s="404"/>
      <c r="J21" s="404"/>
      <c r="K21" s="404"/>
      <c r="L21" s="404"/>
      <c r="M21" s="404"/>
      <c r="N21" s="404"/>
      <c r="O21" s="404"/>
      <c r="P21" s="404"/>
      <c r="Q21" s="404"/>
      <c r="R21" s="404"/>
      <c r="S21" s="404"/>
      <c r="T21" s="404"/>
      <c r="U21" s="404"/>
      <c r="V21" s="404"/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  <c r="AH21" s="404"/>
      <c r="AI21" s="404"/>
      <c r="AJ21" s="404"/>
      <c r="AK21" s="404"/>
      <c r="AL21" s="404"/>
    </row>
    <row r="22" spans="1:72" s="224" customFormat="1">
      <c r="A22" s="225"/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</row>
    <row r="1048574" spans="9:9">
      <c r="I1048574" s="190" t="s">
        <v>20</v>
      </c>
    </row>
  </sheetData>
  <mergeCells count="41">
    <mergeCell ref="A5:A8"/>
    <mergeCell ref="B5:B8"/>
    <mergeCell ref="C5:C8"/>
    <mergeCell ref="A9:A12"/>
    <mergeCell ref="B9:B12"/>
    <mergeCell ref="C9:C12"/>
    <mergeCell ref="A13:A16"/>
    <mergeCell ref="B13:B16"/>
    <mergeCell ref="C13:C16"/>
    <mergeCell ref="AJ13:AJ16"/>
    <mergeCell ref="AK13:AK16"/>
    <mergeCell ref="AL13:AL16"/>
    <mergeCell ref="AK3:AK4"/>
    <mergeCell ref="D3:D4"/>
    <mergeCell ref="A3:A4"/>
    <mergeCell ref="B3:B4"/>
    <mergeCell ref="C3:C4"/>
    <mergeCell ref="AJ3:AJ4"/>
    <mergeCell ref="Z1:AL1"/>
    <mergeCell ref="V2:AL2"/>
    <mergeCell ref="E3:AI3"/>
    <mergeCell ref="A1:M1"/>
    <mergeCell ref="N1:Q1"/>
    <mergeCell ref="S1:U1"/>
    <mergeCell ref="V1:Y1"/>
    <mergeCell ref="AL3:AL4"/>
    <mergeCell ref="A2:D2"/>
    <mergeCell ref="E2:M2"/>
    <mergeCell ref="N2:U2"/>
    <mergeCell ref="A17:A20"/>
    <mergeCell ref="B17:B20"/>
    <mergeCell ref="C17:C20"/>
    <mergeCell ref="AJ17:AJ20"/>
    <mergeCell ref="AK17:AK20"/>
    <mergeCell ref="AL17:AL20"/>
    <mergeCell ref="AJ5:AJ8"/>
    <mergeCell ref="AK5:AK8"/>
    <mergeCell ref="AL5:AL8"/>
    <mergeCell ref="AJ9:AJ12"/>
    <mergeCell ref="AK9:AK12"/>
    <mergeCell ref="AL9:AL12"/>
  </mergeCells>
  <printOptions gridLines="1"/>
  <pageMargins left="0.70866141732283505" right="0.70866141732283505" top="0.74803149606299202" bottom="0.74803149606299202" header="0.31496062992126" footer="0.31496062992126"/>
  <pageSetup paperSize="9" scale="22" fitToHeight="0" orientation="landscape" r:id="rId1"/>
  <headerFooter>
    <oddFooter>&amp;C&amp;1#&amp;"Calibri"&amp;9&amp;K000000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1"/>
  <sheetViews>
    <sheetView topLeftCell="A5" workbookViewId="0">
      <selection activeCell="J15" sqref="J15"/>
    </sheetView>
  </sheetViews>
  <sheetFormatPr defaultColWidth="9.109375" defaultRowHeight="15.6"/>
  <cols>
    <col min="1" max="1" width="11.109375" style="165" customWidth="1"/>
    <col min="2" max="2" width="52.109375" style="166" customWidth="1"/>
    <col min="3" max="3" width="21.88671875" style="167" customWidth="1"/>
    <col min="4" max="4" width="32.44140625" style="167" customWidth="1"/>
    <col min="5" max="5" width="12.44140625" style="167" customWidth="1"/>
    <col min="6" max="6" width="11.5546875" style="167" customWidth="1"/>
    <col min="7" max="7" width="18.44140625" style="167" customWidth="1"/>
    <col min="8" max="8" width="10.88671875" style="167" customWidth="1"/>
    <col min="9" max="9" width="9.44140625" style="167" customWidth="1"/>
    <col min="10" max="10" width="19" style="167" customWidth="1"/>
    <col min="11" max="11" width="11.88671875" style="165" customWidth="1"/>
    <col min="12" max="12" width="9.109375" style="165"/>
    <col min="13" max="13" width="6" style="165" customWidth="1"/>
    <col min="14" max="14" width="35.44140625" style="165" customWidth="1"/>
    <col min="15" max="15" width="14.88671875" style="165" customWidth="1"/>
    <col min="16" max="16" width="6" style="165" customWidth="1"/>
    <col min="17" max="17" width="7.5546875" style="165" customWidth="1"/>
    <col min="18" max="18" width="8.5546875" style="165" customWidth="1"/>
    <col min="19" max="19" width="12.44140625" style="165" customWidth="1"/>
    <col min="20" max="20" width="8.5546875" style="165" customWidth="1"/>
    <col min="21" max="21" width="8" style="165" customWidth="1"/>
    <col min="22" max="257" width="9.109375" style="165"/>
    <col min="258" max="258" width="11.109375" style="165" customWidth="1"/>
    <col min="259" max="259" width="42" style="165" customWidth="1"/>
    <col min="260" max="260" width="21.88671875" style="165" customWidth="1"/>
    <col min="261" max="261" width="27.5546875" style="165" customWidth="1"/>
    <col min="262" max="262" width="12.44140625" style="165" customWidth="1"/>
    <col min="263" max="263" width="11.5546875" style="165" customWidth="1"/>
    <col min="264" max="264" width="18.44140625" style="165" customWidth="1"/>
    <col min="265" max="265" width="9.44140625" style="165" customWidth="1"/>
    <col min="266" max="266" width="19" style="165" customWidth="1"/>
    <col min="267" max="267" width="11.88671875" style="165" customWidth="1"/>
    <col min="268" max="268" width="9.109375" style="165"/>
    <col min="269" max="269" width="6" style="165" customWidth="1"/>
    <col min="270" max="270" width="35.44140625" style="165" customWidth="1"/>
    <col min="271" max="271" width="14.88671875" style="165" customWidth="1"/>
    <col min="272" max="272" width="6" style="165" customWidth="1"/>
    <col min="273" max="273" width="7.5546875" style="165" customWidth="1"/>
    <col min="274" max="274" width="8.5546875" style="165" customWidth="1"/>
    <col min="275" max="275" width="12.44140625" style="165" customWidth="1"/>
    <col min="276" max="276" width="8.5546875" style="165" customWidth="1"/>
    <col min="277" max="277" width="8" style="165" customWidth="1"/>
    <col min="278" max="513" width="9.109375" style="165"/>
    <col min="514" max="514" width="11.109375" style="165" customWidth="1"/>
    <col min="515" max="515" width="42" style="165" customWidth="1"/>
    <col min="516" max="516" width="21.88671875" style="165" customWidth="1"/>
    <col min="517" max="517" width="27.5546875" style="165" customWidth="1"/>
    <col min="518" max="518" width="12.44140625" style="165" customWidth="1"/>
    <col min="519" max="519" width="11.5546875" style="165" customWidth="1"/>
    <col min="520" max="520" width="18.44140625" style="165" customWidth="1"/>
    <col min="521" max="521" width="9.44140625" style="165" customWidth="1"/>
    <col min="522" max="522" width="19" style="165" customWidth="1"/>
    <col min="523" max="523" width="11.88671875" style="165" customWidth="1"/>
    <col min="524" max="524" width="9.109375" style="165"/>
    <col min="525" max="525" width="6" style="165" customWidth="1"/>
    <col min="526" max="526" width="35.44140625" style="165" customWidth="1"/>
    <col min="527" max="527" width="14.88671875" style="165" customWidth="1"/>
    <col min="528" max="528" width="6" style="165" customWidth="1"/>
    <col min="529" max="529" width="7.5546875" style="165" customWidth="1"/>
    <col min="530" max="530" width="8.5546875" style="165" customWidth="1"/>
    <col min="531" max="531" width="12.44140625" style="165" customWidth="1"/>
    <col min="532" max="532" width="8.5546875" style="165" customWidth="1"/>
    <col min="533" max="533" width="8" style="165" customWidth="1"/>
    <col min="534" max="769" width="9.109375" style="165"/>
    <col min="770" max="770" width="11.109375" style="165" customWidth="1"/>
    <col min="771" max="771" width="42" style="165" customWidth="1"/>
    <col min="772" max="772" width="21.88671875" style="165" customWidth="1"/>
    <col min="773" max="773" width="27.5546875" style="165" customWidth="1"/>
    <col min="774" max="774" width="12.44140625" style="165" customWidth="1"/>
    <col min="775" max="775" width="11.5546875" style="165" customWidth="1"/>
    <col min="776" max="776" width="18.44140625" style="165" customWidth="1"/>
    <col min="777" max="777" width="9.44140625" style="165" customWidth="1"/>
    <col min="778" max="778" width="19" style="165" customWidth="1"/>
    <col min="779" max="779" width="11.88671875" style="165" customWidth="1"/>
    <col min="780" max="780" width="9.109375" style="165"/>
    <col min="781" max="781" width="6" style="165" customWidth="1"/>
    <col min="782" max="782" width="35.44140625" style="165" customWidth="1"/>
    <col min="783" max="783" width="14.88671875" style="165" customWidth="1"/>
    <col min="784" max="784" width="6" style="165" customWidth="1"/>
    <col min="785" max="785" width="7.5546875" style="165" customWidth="1"/>
    <col min="786" max="786" width="8.5546875" style="165" customWidth="1"/>
    <col min="787" max="787" width="12.44140625" style="165" customWidth="1"/>
    <col min="788" max="788" width="8.5546875" style="165" customWidth="1"/>
    <col min="789" max="789" width="8" style="165" customWidth="1"/>
    <col min="790" max="1025" width="9.109375" style="165"/>
    <col min="1026" max="1026" width="11.109375" style="165" customWidth="1"/>
    <col min="1027" max="1027" width="42" style="165" customWidth="1"/>
    <col min="1028" max="1028" width="21.88671875" style="165" customWidth="1"/>
    <col min="1029" max="1029" width="27.5546875" style="165" customWidth="1"/>
    <col min="1030" max="1030" width="12.44140625" style="165" customWidth="1"/>
    <col min="1031" max="1031" width="11.5546875" style="165" customWidth="1"/>
    <col min="1032" max="1032" width="18.44140625" style="165" customWidth="1"/>
    <col min="1033" max="1033" width="9.44140625" style="165" customWidth="1"/>
    <col min="1034" max="1034" width="19" style="165" customWidth="1"/>
    <col min="1035" max="1035" width="11.88671875" style="165" customWidth="1"/>
    <col min="1036" max="1036" width="9.109375" style="165"/>
    <col min="1037" max="1037" width="6" style="165" customWidth="1"/>
    <col min="1038" max="1038" width="35.44140625" style="165" customWidth="1"/>
    <col min="1039" max="1039" width="14.88671875" style="165" customWidth="1"/>
    <col min="1040" max="1040" width="6" style="165" customWidth="1"/>
    <col min="1041" max="1041" width="7.5546875" style="165" customWidth="1"/>
    <col min="1042" max="1042" width="8.5546875" style="165" customWidth="1"/>
    <col min="1043" max="1043" width="12.44140625" style="165" customWidth="1"/>
    <col min="1044" max="1044" width="8.5546875" style="165" customWidth="1"/>
    <col min="1045" max="1045" width="8" style="165" customWidth="1"/>
    <col min="1046" max="1281" width="9.109375" style="165"/>
    <col min="1282" max="1282" width="11.109375" style="165" customWidth="1"/>
    <col min="1283" max="1283" width="42" style="165" customWidth="1"/>
    <col min="1284" max="1284" width="21.88671875" style="165" customWidth="1"/>
    <col min="1285" max="1285" width="27.5546875" style="165" customWidth="1"/>
    <col min="1286" max="1286" width="12.44140625" style="165" customWidth="1"/>
    <col min="1287" max="1287" width="11.5546875" style="165" customWidth="1"/>
    <col min="1288" max="1288" width="18.44140625" style="165" customWidth="1"/>
    <col min="1289" max="1289" width="9.44140625" style="165" customWidth="1"/>
    <col min="1290" max="1290" width="19" style="165" customWidth="1"/>
    <col min="1291" max="1291" width="11.88671875" style="165" customWidth="1"/>
    <col min="1292" max="1292" width="9.109375" style="165"/>
    <col min="1293" max="1293" width="6" style="165" customWidth="1"/>
    <col min="1294" max="1294" width="35.44140625" style="165" customWidth="1"/>
    <col min="1295" max="1295" width="14.88671875" style="165" customWidth="1"/>
    <col min="1296" max="1296" width="6" style="165" customWidth="1"/>
    <col min="1297" max="1297" width="7.5546875" style="165" customWidth="1"/>
    <col min="1298" max="1298" width="8.5546875" style="165" customWidth="1"/>
    <col min="1299" max="1299" width="12.44140625" style="165" customWidth="1"/>
    <col min="1300" max="1300" width="8.5546875" style="165" customWidth="1"/>
    <col min="1301" max="1301" width="8" style="165" customWidth="1"/>
    <col min="1302" max="1537" width="9.109375" style="165"/>
    <col min="1538" max="1538" width="11.109375" style="165" customWidth="1"/>
    <col min="1539" max="1539" width="42" style="165" customWidth="1"/>
    <col min="1540" max="1540" width="21.88671875" style="165" customWidth="1"/>
    <col min="1541" max="1541" width="27.5546875" style="165" customWidth="1"/>
    <col min="1542" max="1542" width="12.44140625" style="165" customWidth="1"/>
    <col min="1543" max="1543" width="11.5546875" style="165" customWidth="1"/>
    <col min="1544" max="1544" width="18.44140625" style="165" customWidth="1"/>
    <col min="1545" max="1545" width="9.44140625" style="165" customWidth="1"/>
    <col min="1546" max="1546" width="19" style="165" customWidth="1"/>
    <col min="1547" max="1547" width="11.88671875" style="165" customWidth="1"/>
    <col min="1548" max="1548" width="9.109375" style="165"/>
    <col min="1549" max="1549" width="6" style="165" customWidth="1"/>
    <col min="1550" max="1550" width="35.44140625" style="165" customWidth="1"/>
    <col min="1551" max="1551" width="14.88671875" style="165" customWidth="1"/>
    <col min="1552" max="1552" width="6" style="165" customWidth="1"/>
    <col min="1553" max="1553" width="7.5546875" style="165" customWidth="1"/>
    <col min="1554" max="1554" width="8.5546875" style="165" customWidth="1"/>
    <col min="1555" max="1555" width="12.44140625" style="165" customWidth="1"/>
    <col min="1556" max="1556" width="8.5546875" style="165" customWidth="1"/>
    <col min="1557" max="1557" width="8" style="165" customWidth="1"/>
    <col min="1558" max="1793" width="9.109375" style="165"/>
    <col min="1794" max="1794" width="11.109375" style="165" customWidth="1"/>
    <col min="1795" max="1795" width="42" style="165" customWidth="1"/>
    <col min="1796" max="1796" width="21.88671875" style="165" customWidth="1"/>
    <col min="1797" max="1797" width="27.5546875" style="165" customWidth="1"/>
    <col min="1798" max="1798" width="12.44140625" style="165" customWidth="1"/>
    <col min="1799" max="1799" width="11.5546875" style="165" customWidth="1"/>
    <col min="1800" max="1800" width="18.44140625" style="165" customWidth="1"/>
    <col min="1801" max="1801" width="9.44140625" style="165" customWidth="1"/>
    <col min="1802" max="1802" width="19" style="165" customWidth="1"/>
    <col min="1803" max="1803" width="11.88671875" style="165" customWidth="1"/>
    <col min="1804" max="1804" width="9.109375" style="165"/>
    <col min="1805" max="1805" width="6" style="165" customWidth="1"/>
    <col min="1806" max="1806" width="35.44140625" style="165" customWidth="1"/>
    <col min="1807" max="1807" width="14.88671875" style="165" customWidth="1"/>
    <col min="1808" max="1808" width="6" style="165" customWidth="1"/>
    <col min="1809" max="1809" width="7.5546875" style="165" customWidth="1"/>
    <col min="1810" max="1810" width="8.5546875" style="165" customWidth="1"/>
    <col min="1811" max="1811" width="12.44140625" style="165" customWidth="1"/>
    <col min="1812" max="1812" width="8.5546875" style="165" customWidth="1"/>
    <col min="1813" max="1813" width="8" style="165" customWidth="1"/>
    <col min="1814" max="2049" width="9.109375" style="165"/>
    <col min="2050" max="2050" width="11.109375" style="165" customWidth="1"/>
    <col min="2051" max="2051" width="42" style="165" customWidth="1"/>
    <col min="2052" max="2052" width="21.88671875" style="165" customWidth="1"/>
    <col min="2053" max="2053" width="27.5546875" style="165" customWidth="1"/>
    <col min="2054" max="2054" width="12.44140625" style="165" customWidth="1"/>
    <col min="2055" max="2055" width="11.5546875" style="165" customWidth="1"/>
    <col min="2056" max="2056" width="18.44140625" style="165" customWidth="1"/>
    <col min="2057" max="2057" width="9.44140625" style="165" customWidth="1"/>
    <col min="2058" max="2058" width="19" style="165" customWidth="1"/>
    <col min="2059" max="2059" width="11.88671875" style="165" customWidth="1"/>
    <col min="2060" max="2060" width="9.109375" style="165"/>
    <col min="2061" max="2061" width="6" style="165" customWidth="1"/>
    <col min="2062" max="2062" width="35.44140625" style="165" customWidth="1"/>
    <col min="2063" max="2063" width="14.88671875" style="165" customWidth="1"/>
    <col min="2064" max="2064" width="6" style="165" customWidth="1"/>
    <col min="2065" max="2065" width="7.5546875" style="165" customWidth="1"/>
    <col min="2066" max="2066" width="8.5546875" style="165" customWidth="1"/>
    <col min="2067" max="2067" width="12.44140625" style="165" customWidth="1"/>
    <col min="2068" max="2068" width="8.5546875" style="165" customWidth="1"/>
    <col min="2069" max="2069" width="8" style="165" customWidth="1"/>
    <col min="2070" max="2305" width="9.109375" style="165"/>
    <col min="2306" max="2306" width="11.109375" style="165" customWidth="1"/>
    <col min="2307" max="2307" width="42" style="165" customWidth="1"/>
    <col min="2308" max="2308" width="21.88671875" style="165" customWidth="1"/>
    <col min="2309" max="2309" width="27.5546875" style="165" customWidth="1"/>
    <col min="2310" max="2310" width="12.44140625" style="165" customWidth="1"/>
    <col min="2311" max="2311" width="11.5546875" style="165" customWidth="1"/>
    <col min="2312" max="2312" width="18.44140625" style="165" customWidth="1"/>
    <col min="2313" max="2313" width="9.44140625" style="165" customWidth="1"/>
    <col min="2314" max="2314" width="19" style="165" customWidth="1"/>
    <col min="2315" max="2315" width="11.88671875" style="165" customWidth="1"/>
    <col min="2316" max="2316" width="9.109375" style="165"/>
    <col min="2317" max="2317" width="6" style="165" customWidth="1"/>
    <col min="2318" max="2318" width="35.44140625" style="165" customWidth="1"/>
    <col min="2319" max="2319" width="14.88671875" style="165" customWidth="1"/>
    <col min="2320" max="2320" width="6" style="165" customWidth="1"/>
    <col min="2321" max="2321" width="7.5546875" style="165" customWidth="1"/>
    <col min="2322" max="2322" width="8.5546875" style="165" customWidth="1"/>
    <col min="2323" max="2323" width="12.44140625" style="165" customWidth="1"/>
    <col min="2324" max="2324" width="8.5546875" style="165" customWidth="1"/>
    <col min="2325" max="2325" width="8" style="165" customWidth="1"/>
    <col min="2326" max="2561" width="9.109375" style="165"/>
    <col min="2562" max="2562" width="11.109375" style="165" customWidth="1"/>
    <col min="2563" max="2563" width="42" style="165" customWidth="1"/>
    <col min="2564" max="2564" width="21.88671875" style="165" customWidth="1"/>
    <col min="2565" max="2565" width="27.5546875" style="165" customWidth="1"/>
    <col min="2566" max="2566" width="12.44140625" style="165" customWidth="1"/>
    <col min="2567" max="2567" width="11.5546875" style="165" customWidth="1"/>
    <col min="2568" max="2568" width="18.44140625" style="165" customWidth="1"/>
    <col min="2569" max="2569" width="9.44140625" style="165" customWidth="1"/>
    <col min="2570" max="2570" width="19" style="165" customWidth="1"/>
    <col min="2571" max="2571" width="11.88671875" style="165" customWidth="1"/>
    <col min="2572" max="2572" width="9.109375" style="165"/>
    <col min="2573" max="2573" width="6" style="165" customWidth="1"/>
    <col min="2574" max="2574" width="35.44140625" style="165" customWidth="1"/>
    <col min="2575" max="2575" width="14.88671875" style="165" customWidth="1"/>
    <col min="2576" max="2576" width="6" style="165" customWidth="1"/>
    <col min="2577" max="2577" width="7.5546875" style="165" customWidth="1"/>
    <col min="2578" max="2578" width="8.5546875" style="165" customWidth="1"/>
    <col min="2579" max="2579" width="12.44140625" style="165" customWidth="1"/>
    <col min="2580" max="2580" width="8.5546875" style="165" customWidth="1"/>
    <col min="2581" max="2581" width="8" style="165" customWidth="1"/>
    <col min="2582" max="2817" width="9.109375" style="165"/>
    <col min="2818" max="2818" width="11.109375" style="165" customWidth="1"/>
    <col min="2819" max="2819" width="42" style="165" customWidth="1"/>
    <col min="2820" max="2820" width="21.88671875" style="165" customWidth="1"/>
    <col min="2821" max="2821" width="27.5546875" style="165" customWidth="1"/>
    <col min="2822" max="2822" width="12.44140625" style="165" customWidth="1"/>
    <col min="2823" max="2823" width="11.5546875" style="165" customWidth="1"/>
    <col min="2824" max="2824" width="18.44140625" style="165" customWidth="1"/>
    <col min="2825" max="2825" width="9.44140625" style="165" customWidth="1"/>
    <col min="2826" max="2826" width="19" style="165" customWidth="1"/>
    <col min="2827" max="2827" width="11.88671875" style="165" customWidth="1"/>
    <col min="2828" max="2828" width="9.109375" style="165"/>
    <col min="2829" max="2829" width="6" style="165" customWidth="1"/>
    <col min="2830" max="2830" width="35.44140625" style="165" customWidth="1"/>
    <col min="2831" max="2831" width="14.88671875" style="165" customWidth="1"/>
    <col min="2832" max="2832" width="6" style="165" customWidth="1"/>
    <col min="2833" max="2833" width="7.5546875" style="165" customWidth="1"/>
    <col min="2834" max="2834" width="8.5546875" style="165" customWidth="1"/>
    <col min="2835" max="2835" width="12.44140625" style="165" customWidth="1"/>
    <col min="2836" max="2836" width="8.5546875" style="165" customWidth="1"/>
    <col min="2837" max="2837" width="8" style="165" customWidth="1"/>
    <col min="2838" max="3073" width="9.109375" style="165"/>
    <col min="3074" max="3074" width="11.109375" style="165" customWidth="1"/>
    <col min="3075" max="3075" width="42" style="165" customWidth="1"/>
    <col min="3076" max="3076" width="21.88671875" style="165" customWidth="1"/>
    <col min="3077" max="3077" width="27.5546875" style="165" customWidth="1"/>
    <col min="3078" max="3078" width="12.44140625" style="165" customWidth="1"/>
    <col min="3079" max="3079" width="11.5546875" style="165" customWidth="1"/>
    <col min="3080" max="3080" width="18.44140625" style="165" customWidth="1"/>
    <col min="3081" max="3081" width="9.44140625" style="165" customWidth="1"/>
    <col min="3082" max="3082" width="19" style="165" customWidth="1"/>
    <col min="3083" max="3083" width="11.88671875" style="165" customWidth="1"/>
    <col min="3084" max="3084" width="9.109375" style="165"/>
    <col min="3085" max="3085" width="6" style="165" customWidth="1"/>
    <col min="3086" max="3086" width="35.44140625" style="165" customWidth="1"/>
    <col min="3087" max="3087" width="14.88671875" style="165" customWidth="1"/>
    <col min="3088" max="3088" width="6" style="165" customWidth="1"/>
    <col min="3089" max="3089" width="7.5546875" style="165" customWidth="1"/>
    <col min="3090" max="3090" width="8.5546875" style="165" customWidth="1"/>
    <col min="3091" max="3091" width="12.44140625" style="165" customWidth="1"/>
    <col min="3092" max="3092" width="8.5546875" style="165" customWidth="1"/>
    <col min="3093" max="3093" width="8" style="165" customWidth="1"/>
    <col min="3094" max="3329" width="9.109375" style="165"/>
    <col min="3330" max="3330" width="11.109375" style="165" customWidth="1"/>
    <col min="3331" max="3331" width="42" style="165" customWidth="1"/>
    <col min="3332" max="3332" width="21.88671875" style="165" customWidth="1"/>
    <col min="3333" max="3333" width="27.5546875" style="165" customWidth="1"/>
    <col min="3334" max="3334" width="12.44140625" style="165" customWidth="1"/>
    <col min="3335" max="3335" width="11.5546875" style="165" customWidth="1"/>
    <col min="3336" max="3336" width="18.44140625" style="165" customWidth="1"/>
    <col min="3337" max="3337" width="9.44140625" style="165" customWidth="1"/>
    <col min="3338" max="3338" width="19" style="165" customWidth="1"/>
    <col min="3339" max="3339" width="11.88671875" style="165" customWidth="1"/>
    <col min="3340" max="3340" width="9.109375" style="165"/>
    <col min="3341" max="3341" width="6" style="165" customWidth="1"/>
    <col min="3342" max="3342" width="35.44140625" style="165" customWidth="1"/>
    <col min="3343" max="3343" width="14.88671875" style="165" customWidth="1"/>
    <col min="3344" max="3344" width="6" style="165" customWidth="1"/>
    <col min="3345" max="3345" width="7.5546875" style="165" customWidth="1"/>
    <col min="3346" max="3346" width="8.5546875" style="165" customWidth="1"/>
    <col min="3347" max="3347" width="12.44140625" style="165" customWidth="1"/>
    <col min="3348" max="3348" width="8.5546875" style="165" customWidth="1"/>
    <col min="3349" max="3349" width="8" style="165" customWidth="1"/>
    <col min="3350" max="3585" width="9.109375" style="165"/>
    <col min="3586" max="3586" width="11.109375" style="165" customWidth="1"/>
    <col min="3587" max="3587" width="42" style="165" customWidth="1"/>
    <col min="3588" max="3588" width="21.88671875" style="165" customWidth="1"/>
    <col min="3589" max="3589" width="27.5546875" style="165" customWidth="1"/>
    <col min="3590" max="3590" width="12.44140625" style="165" customWidth="1"/>
    <col min="3591" max="3591" width="11.5546875" style="165" customWidth="1"/>
    <col min="3592" max="3592" width="18.44140625" style="165" customWidth="1"/>
    <col min="3593" max="3593" width="9.44140625" style="165" customWidth="1"/>
    <col min="3594" max="3594" width="19" style="165" customWidth="1"/>
    <col min="3595" max="3595" width="11.88671875" style="165" customWidth="1"/>
    <col min="3596" max="3596" width="9.109375" style="165"/>
    <col min="3597" max="3597" width="6" style="165" customWidth="1"/>
    <col min="3598" max="3598" width="35.44140625" style="165" customWidth="1"/>
    <col min="3599" max="3599" width="14.88671875" style="165" customWidth="1"/>
    <col min="3600" max="3600" width="6" style="165" customWidth="1"/>
    <col min="3601" max="3601" width="7.5546875" style="165" customWidth="1"/>
    <col min="3602" max="3602" width="8.5546875" style="165" customWidth="1"/>
    <col min="3603" max="3603" width="12.44140625" style="165" customWidth="1"/>
    <col min="3604" max="3604" width="8.5546875" style="165" customWidth="1"/>
    <col min="3605" max="3605" width="8" style="165" customWidth="1"/>
    <col min="3606" max="3841" width="9.109375" style="165"/>
    <col min="3842" max="3842" width="11.109375" style="165" customWidth="1"/>
    <col min="3843" max="3843" width="42" style="165" customWidth="1"/>
    <col min="3844" max="3844" width="21.88671875" style="165" customWidth="1"/>
    <col min="3845" max="3845" width="27.5546875" style="165" customWidth="1"/>
    <col min="3846" max="3846" width="12.44140625" style="165" customWidth="1"/>
    <col min="3847" max="3847" width="11.5546875" style="165" customWidth="1"/>
    <col min="3848" max="3848" width="18.44140625" style="165" customWidth="1"/>
    <col min="3849" max="3849" width="9.44140625" style="165" customWidth="1"/>
    <col min="3850" max="3850" width="19" style="165" customWidth="1"/>
    <col min="3851" max="3851" width="11.88671875" style="165" customWidth="1"/>
    <col min="3852" max="3852" width="9.109375" style="165"/>
    <col min="3853" max="3853" width="6" style="165" customWidth="1"/>
    <col min="3854" max="3854" width="35.44140625" style="165" customWidth="1"/>
    <col min="3855" max="3855" width="14.88671875" style="165" customWidth="1"/>
    <col min="3856" max="3856" width="6" style="165" customWidth="1"/>
    <col min="3857" max="3857" width="7.5546875" style="165" customWidth="1"/>
    <col min="3858" max="3858" width="8.5546875" style="165" customWidth="1"/>
    <col min="3859" max="3859" width="12.44140625" style="165" customWidth="1"/>
    <col min="3860" max="3860" width="8.5546875" style="165" customWidth="1"/>
    <col min="3861" max="3861" width="8" style="165" customWidth="1"/>
    <col min="3862" max="4097" width="9.109375" style="165"/>
    <col min="4098" max="4098" width="11.109375" style="165" customWidth="1"/>
    <col min="4099" max="4099" width="42" style="165" customWidth="1"/>
    <col min="4100" max="4100" width="21.88671875" style="165" customWidth="1"/>
    <col min="4101" max="4101" width="27.5546875" style="165" customWidth="1"/>
    <col min="4102" max="4102" width="12.44140625" style="165" customWidth="1"/>
    <col min="4103" max="4103" width="11.5546875" style="165" customWidth="1"/>
    <col min="4104" max="4104" width="18.44140625" style="165" customWidth="1"/>
    <col min="4105" max="4105" width="9.44140625" style="165" customWidth="1"/>
    <col min="4106" max="4106" width="19" style="165" customWidth="1"/>
    <col min="4107" max="4107" width="11.88671875" style="165" customWidth="1"/>
    <col min="4108" max="4108" width="9.109375" style="165"/>
    <col min="4109" max="4109" width="6" style="165" customWidth="1"/>
    <col min="4110" max="4110" width="35.44140625" style="165" customWidth="1"/>
    <col min="4111" max="4111" width="14.88671875" style="165" customWidth="1"/>
    <col min="4112" max="4112" width="6" style="165" customWidth="1"/>
    <col min="4113" max="4113" width="7.5546875" style="165" customWidth="1"/>
    <col min="4114" max="4114" width="8.5546875" style="165" customWidth="1"/>
    <col min="4115" max="4115" width="12.44140625" style="165" customWidth="1"/>
    <col min="4116" max="4116" width="8.5546875" style="165" customWidth="1"/>
    <col min="4117" max="4117" width="8" style="165" customWidth="1"/>
    <col min="4118" max="4353" width="9.109375" style="165"/>
    <col min="4354" max="4354" width="11.109375" style="165" customWidth="1"/>
    <col min="4355" max="4355" width="42" style="165" customWidth="1"/>
    <col min="4356" max="4356" width="21.88671875" style="165" customWidth="1"/>
    <col min="4357" max="4357" width="27.5546875" style="165" customWidth="1"/>
    <col min="4358" max="4358" width="12.44140625" style="165" customWidth="1"/>
    <col min="4359" max="4359" width="11.5546875" style="165" customWidth="1"/>
    <col min="4360" max="4360" width="18.44140625" style="165" customWidth="1"/>
    <col min="4361" max="4361" width="9.44140625" style="165" customWidth="1"/>
    <col min="4362" max="4362" width="19" style="165" customWidth="1"/>
    <col min="4363" max="4363" width="11.88671875" style="165" customWidth="1"/>
    <col min="4364" max="4364" width="9.109375" style="165"/>
    <col min="4365" max="4365" width="6" style="165" customWidth="1"/>
    <col min="4366" max="4366" width="35.44140625" style="165" customWidth="1"/>
    <col min="4367" max="4367" width="14.88671875" style="165" customWidth="1"/>
    <col min="4368" max="4368" width="6" style="165" customWidth="1"/>
    <col min="4369" max="4369" width="7.5546875" style="165" customWidth="1"/>
    <col min="4370" max="4370" width="8.5546875" style="165" customWidth="1"/>
    <col min="4371" max="4371" width="12.44140625" style="165" customWidth="1"/>
    <col min="4372" max="4372" width="8.5546875" style="165" customWidth="1"/>
    <col min="4373" max="4373" width="8" style="165" customWidth="1"/>
    <col min="4374" max="4609" width="9.109375" style="165"/>
    <col min="4610" max="4610" width="11.109375" style="165" customWidth="1"/>
    <col min="4611" max="4611" width="42" style="165" customWidth="1"/>
    <col min="4612" max="4612" width="21.88671875" style="165" customWidth="1"/>
    <col min="4613" max="4613" width="27.5546875" style="165" customWidth="1"/>
    <col min="4614" max="4614" width="12.44140625" style="165" customWidth="1"/>
    <col min="4615" max="4615" width="11.5546875" style="165" customWidth="1"/>
    <col min="4616" max="4616" width="18.44140625" style="165" customWidth="1"/>
    <col min="4617" max="4617" width="9.44140625" style="165" customWidth="1"/>
    <col min="4618" max="4618" width="19" style="165" customWidth="1"/>
    <col min="4619" max="4619" width="11.88671875" style="165" customWidth="1"/>
    <col min="4620" max="4620" width="9.109375" style="165"/>
    <col min="4621" max="4621" width="6" style="165" customWidth="1"/>
    <col min="4622" max="4622" width="35.44140625" style="165" customWidth="1"/>
    <col min="4623" max="4623" width="14.88671875" style="165" customWidth="1"/>
    <col min="4624" max="4624" width="6" style="165" customWidth="1"/>
    <col min="4625" max="4625" width="7.5546875" style="165" customWidth="1"/>
    <col min="4626" max="4626" width="8.5546875" style="165" customWidth="1"/>
    <col min="4627" max="4627" width="12.44140625" style="165" customWidth="1"/>
    <col min="4628" max="4628" width="8.5546875" style="165" customWidth="1"/>
    <col min="4629" max="4629" width="8" style="165" customWidth="1"/>
    <col min="4630" max="4865" width="9.109375" style="165"/>
    <col min="4866" max="4866" width="11.109375" style="165" customWidth="1"/>
    <col min="4867" max="4867" width="42" style="165" customWidth="1"/>
    <col min="4868" max="4868" width="21.88671875" style="165" customWidth="1"/>
    <col min="4869" max="4869" width="27.5546875" style="165" customWidth="1"/>
    <col min="4870" max="4870" width="12.44140625" style="165" customWidth="1"/>
    <col min="4871" max="4871" width="11.5546875" style="165" customWidth="1"/>
    <col min="4872" max="4872" width="18.44140625" style="165" customWidth="1"/>
    <col min="4873" max="4873" width="9.44140625" style="165" customWidth="1"/>
    <col min="4874" max="4874" width="19" style="165" customWidth="1"/>
    <col min="4875" max="4875" width="11.88671875" style="165" customWidth="1"/>
    <col min="4876" max="4876" width="9.109375" style="165"/>
    <col min="4877" max="4877" width="6" style="165" customWidth="1"/>
    <col min="4878" max="4878" width="35.44140625" style="165" customWidth="1"/>
    <col min="4879" max="4879" width="14.88671875" style="165" customWidth="1"/>
    <col min="4880" max="4880" width="6" style="165" customWidth="1"/>
    <col min="4881" max="4881" width="7.5546875" style="165" customWidth="1"/>
    <col min="4882" max="4882" width="8.5546875" style="165" customWidth="1"/>
    <col min="4883" max="4883" width="12.44140625" style="165" customWidth="1"/>
    <col min="4884" max="4884" width="8.5546875" style="165" customWidth="1"/>
    <col min="4885" max="4885" width="8" style="165" customWidth="1"/>
    <col min="4886" max="5121" width="9.109375" style="165"/>
    <col min="5122" max="5122" width="11.109375" style="165" customWidth="1"/>
    <col min="5123" max="5123" width="42" style="165" customWidth="1"/>
    <col min="5124" max="5124" width="21.88671875" style="165" customWidth="1"/>
    <col min="5125" max="5125" width="27.5546875" style="165" customWidth="1"/>
    <col min="5126" max="5126" width="12.44140625" style="165" customWidth="1"/>
    <col min="5127" max="5127" width="11.5546875" style="165" customWidth="1"/>
    <col min="5128" max="5128" width="18.44140625" style="165" customWidth="1"/>
    <col min="5129" max="5129" width="9.44140625" style="165" customWidth="1"/>
    <col min="5130" max="5130" width="19" style="165" customWidth="1"/>
    <col min="5131" max="5131" width="11.88671875" style="165" customWidth="1"/>
    <col min="5132" max="5132" width="9.109375" style="165"/>
    <col min="5133" max="5133" width="6" style="165" customWidth="1"/>
    <col min="5134" max="5134" width="35.44140625" style="165" customWidth="1"/>
    <col min="5135" max="5135" width="14.88671875" style="165" customWidth="1"/>
    <col min="5136" max="5136" width="6" style="165" customWidth="1"/>
    <col min="5137" max="5137" width="7.5546875" style="165" customWidth="1"/>
    <col min="5138" max="5138" width="8.5546875" style="165" customWidth="1"/>
    <col min="5139" max="5139" width="12.44140625" style="165" customWidth="1"/>
    <col min="5140" max="5140" width="8.5546875" style="165" customWidth="1"/>
    <col min="5141" max="5141" width="8" style="165" customWidth="1"/>
    <col min="5142" max="5377" width="9.109375" style="165"/>
    <col min="5378" max="5378" width="11.109375" style="165" customWidth="1"/>
    <col min="5379" max="5379" width="42" style="165" customWidth="1"/>
    <col min="5380" max="5380" width="21.88671875" style="165" customWidth="1"/>
    <col min="5381" max="5381" width="27.5546875" style="165" customWidth="1"/>
    <col min="5382" max="5382" width="12.44140625" style="165" customWidth="1"/>
    <col min="5383" max="5383" width="11.5546875" style="165" customWidth="1"/>
    <col min="5384" max="5384" width="18.44140625" style="165" customWidth="1"/>
    <col min="5385" max="5385" width="9.44140625" style="165" customWidth="1"/>
    <col min="5386" max="5386" width="19" style="165" customWidth="1"/>
    <col min="5387" max="5387" width="11.88671875" style="165" customWidth="1"/>
    <col min="5388" max="5388" width="9.109375" style="165"/>
    <col min="5389" max="5389" width="6" style="165" customWidth="1"/>
    <col min="5390" max="5390" width="35.44140625" style="165" customWidth="1"/>
    <col min="5391" max="5391" width="14.88671875" style="165" customWidth="1"/>
    <col min="5392" max="5392" width="6" style="165" customWidth="1"/>
    <col min="5393" max="5393" width="7.5546875" style="165" customWidth="1"/>
    <col min="5394" max="5394" width="8.5546875" style="165" customWidth="1"/>
    <col min="5395" max="5395" width="12.44140625" style="165" customWidth="1"/>
    <col min="5396" max="5396" width="8.5546875" style="165" customWidth="1"/>
    <col min="5397" max="5397" width="8" style="165" customWidth="1"/>
    <col min="5398" max="5633" width="9.109375" style="165"/>
    <col min="5634" max="5634" width="11.109375" style="165" customWidth="1"/>
    <col min="5635" max="5635" width="42" style="165" customWidth="1"/>
    <col min="5636" max="5636" width="21.88671875" style="165" customWidth="1"/>
    <col min="5637" max="5637" width="27.5546875" style="165" customWidth="1"/>
    <col min="5638" max="5638" width="12.44140625" style="165" customWidth="1"/>
    <col min="5639" max="5639" width="11.5546875" style="165" customWidth="1"/>
    <col min="5640" max="5640" width="18.44140625" style="165" customWidth="1"/>
    <col min="5641" max="5641" width="9.44140625" style="165" customWidth="1"/>
    <col min="5642" max="5642" width="19" style="165" customWidth="1"/>
    <col min="5643" max="5643" width="11.88671875" style="165" customWidth="1"/>
    <col min="5644" max="5644" width="9.109375" style="165"/>
    <col min="5645" max="5645" width="6" style="165" customWidth="1"/>
    <col min="5646" max="5646" width="35.44140625" style="165" customWidth="1"/>
    <col min="5647" max="5647" width="14.88671875" style="165" customWidth="1"/>
    <col min="5648" max="5648" width="6" style="165" customWidth="1"/>
    <col min="5649" max="5649" width="7.5546875" style="165" customWidth="1"/>
    <col min="5650" max="5650" width="8.5546875" style="165" customWidth="1"/>
    <col min="5651" max="5651" width="12.44140625" style="165" customWidth="1"/>
    <col min="5652" max="5652" width="8.5546875" style="165" customWidth="1"/>
    <col min="5653" max="5653" width="8" style="165" customWidth="1"/>
    <col min="5654" max="5889" width="9.109375" style="165"/>
    <col min="5890" max="5890" width="11.109375" style="165" customWidth="1"/>
    <col min="5891" max="5891" width="42" style="165" customWidth="1"/>
    <col min="5892" max="5892" width="21.88671875" style="165" customWidth="1"/>
    <col min="5893" max="5893" width="27.5546875" style="165" customWidth="1"/>
    <col min="5894" max="5894" width="12.44140625" style="165" customWidth="1"/>
    <col min="5895" max="5895" width="11.5546875" style="165" customWidth="1"/>
    <col min="5896" max="5896" width="18.44140625" style="165" customWidth="1"/>
    <col min="5897" max="5897" width="9.44140625" style="165" customWidth="1"/>
    <col min="5898" max="5898" width="19" style="165" customWidth="1"/>
    <col min="5899" max="5899" width="11.88671875" style="165" customWidth="1"/>
    <col min="5900" max="5900" width="9.109375" style="165"/>
    <col min="5901" max="5901" width="6" style="165" customWidth="1"/>
    <col min="5902" max="5902" width="35.44140625" style="165" customWidth="1"/>
    <col min="5903" max="5903" width="14.88671875" style="165" customWidth="1"/>
    <col min="5904" max="5904" width="6" style="165" customWidth="1"/>
    <col min="5905" max="5905" width="7.5546875" style="165" customWidth="1"/>
    <col min="5906" max="5906" width="8.5546875" style="165" customWidth="1"/>
    <col min="5907" max="5907" width="12.44140625" style="165" customWidth="1"/>
    <col min="5908" max="5908" width="8.5546875" style="165" customWidth="1"/>
    <col min="5909" max="5909" width="8" style="165" customWidth="1"/>
    <col min="5910" max="6145" width="9.109375" style="165"/>
    <col min="6146" max="6146" width="11.109375" style="165" customWidth="1"/>
    <col min="6147" max="6147" width="42" style="165" customWidth="1"/>
    <col min="6148" max="6148" width="21.88671875" style="165" customWidth="1"/>
    <col min="6149" max="6149" width="27.5546875" style="165" customWidth="1"/>
    <col min="6150" max="6150" width="12.44140625" style="165" customWidth="1"/>
    <col min="6151" max="6151" width="11.5546875" style="165" customWidth="1"/>
    <col min="6152" max="6152" width="18.44140625" style="165" customWidth="1"/>
    <col min="6153" max="6153" width="9.44140625" style="165" customWidth="1"/>
    <col min="6154" max="6154" width="19" style="165" customWidth="1"/>
    <col min="6155" max="6155" width="11.88671875" style="165" customWidth="1"/>
    <col min="6156" max="6156" width="9.109375" style="165"/>
    <col min="6157" max="6157" width="6" style="165" customWidth="1"/>
    <col min="6158" max="6158" width="35.44140625" style="165" customWidth="1"/>
    <col min="6159" max="6159" width="14.88671875" style="165" customWidth="1"/>
    <col min="6160" max="6160" width="6" style="165" customWidth="1"/>
    <col min="6161" max="6161" width="7.5546875" style="165" customWidth="1"/>
    <col min="6162" max="6162" width="8.5546875" style="165" customWidth="1"/>
    <col min="6163" max="6163" width="12.44140625" style="165" customWidth="1"/>
    <col min="6164" max="6164" width="8.5546875" style="165" customWidth="1"/>
    <col min="6165" max="6165" width="8" style="165" customWidth="1"/>
    <col min="6166" max="6401" width="9.109375" style="165"/>
    <col min="6402" max="6402" width="11.109375" style="165" customWidth="1"/>
    <col min="6403" max="6403" width="42" style="165" customWidth="1"/>
    <col min="6404" max="6404" width="21.88671875" style="165" customWidth="1"/>
    <col min="6405" max="6405" width="27.5546875" style="165" customWidth="1"/>
    <col min="6406" max="6406" width="12.44140625" style="165" customWidth="1"/>
    <col min="6407" max="6407" width="11.5546875" style="165" customWidth="1"/>
    <col min="6408" max="6408" width="18.44140625" style="165" customWidth="1"/>
    <col min="6409" max="6409" width="9.44140625" style="165" customWidth="1"/>
    <col min="6410" max="6410" width="19" style="165" customWidth="1"/>
    <col min="6411" max="6411" width="11.88671875" style="165" customWidth="1"/>
    <col min="6412" max="6412" width="9.109375" style="165"/>
    <col min="6413" max="6413" width="6" style="165" customWidth="1"/>
    <col min="6414" max="6414" width="35.44140625" style="165" customWidth="1"/>
    <col min="6415" max="6415" width="14.88671875" style="165" customWidth="1"/>
    <col min="6416" max="6416" width="6" style="165" customWidth="1"/>
    <col min="6417" max="6417" width="7.5546875" style="165" customWidth="1"/>
    <col min="6418" max="6418" width="8.5546875" style="165" customWidth="1"/>
    <col min="6419" max="6419" width="12.44140625" style="165" customWidth="1"/>
    <col min="6420" max="6420" width="8.5546875" style="165" customWidth="1"/>
    <col min="6421" max="6421" width="8" style="165" customWidth="1"/>
    <col min="6422" max="6657" width="9.109375" style="165"/>
    <col min="6658" max="6658" width="11.109375" style="165" customWidth="1"/>
    <col min="6659" max="6659" width="42" style="165" customWidth="1"/>
    <col min="6660" max="6660" width="21.88671875" style="165" customWidth="1"/>
    <col min="6661" max="6661" width="27.5546875" style="165" customWidth="1"/>
    <col min="6662" max="6662" width="12.44140625" style="165" customWidth="1"/>
    <col min="6663" max="6663" width="11.5546875" style="165" customWidth="1"/>
    <col min="6664" max="6664" width="18.44140625" style="165" customWidth="1"/>
    <col min="6665" max="6665" width="9.44140625" style="165" customWidth="1"/>
    <col min="6666" max="6666" width="19" style="165" customWidth="1"/>
    <col min="6667" max="6667" width="11.88671875" style="165" customWidth="1"/>
    <col min="6668" max="6668" width="9.109375" style="165"/>
    <col min="6669" max="6669" width="6" style="165" customWidth="1"/>
    <col min="6670" max="6670" width="35.44140625" style="165" customWidth="1"/>
    <col min="6671" max="6671" width="14.88671875" style="165" customWidth="1"/>
    <col min="6672" max="6672" width="6" style="165" customWidth="1"/>
    <col min="6673" max="6673" width="7.5546875" style="165" customWidth="1"/>
    <col min="6674" max="6674" width="8.5546875" style="165" customWidth="1"/>
    <col min="6675" max="6675" width="12.44140625" style="165" customWidth="1"/>
    <col min="6676" max="6676" width="8.5546875" style="165" customWidth="1"/>
    <col min="6677" max="6677" width="8" style="165" customWidth="1"/>
    <col min="6678" max="6913" width="9.109375" style="165"/>
    <col min="6914" max="6914" width="11.109375" style="165" customWidth="1"/>
    <col min="6915" max="6915" width="42" style="165" customWidth="1"/>
    <col min="6916" max="6916" width="21.88671875" style="165" customWidth="1"/>
    <col min="6917" max="6917" width="27.5546875" style="165" customWidth="1"/>
    <col min="6918" max="6918" width="12.44140625" style="165" customWidth="1"/>
    <col min="6919" max="6919" width="11.5546875" style="165" customWidth="1"/>
    <col min="6920" max="6920" width="18.44140625" style="165" customWidth="1"/>
    <col min="6921" max="6921" width="9.44140625" style="165" customWidth="1"/>
    <col min="6922" max="6922" width="19" style="165" customWidth="1"/>
    <col min="6923" max="6923" width="11.88671875" style="165" customWidth="1"/>
    <col min="6924" max="6924" width="9.109375" style="165"/>
    <col min="6925" max="6925" width="6" style="165" customWidth="1"/>
    <col min="6926" max="6926" width="35.44140625" style="165" customWidth="1"/>
    <col min="6927" max="6927" width="14.88671875" style="165" customWidth="1"/>
    <col min="6928" max="6928" width="6" style="165" customWidth="1"/>
    <col min="6929" max="6929" width="7.5546875" style="165" customWidth="1"/>
    <col min="6930" max="6930" width="8.5546875" style="165" customWidth="1"/>
    <col min="6931" max="6931" width="12.44140625" style="165" customWidth="1"/>
    <col min="6932" max="6932" width="8.5546875" style="165" customWidth="1"/>
    <col min="6933" max="6933" width="8" style="165" customWidth="1"/>
    <col min="6934" max="7169" width="9.109375" style="165"/>
    <col min="7170" max="7170" width="11.109375" style="165" customWidth="1"/>
    <col min="7171" max="7171" width="42" style="165" customWidth="1"/>
    <col min="7172" max="7172" width="21.88671875" style="165" customWidth="1"/>
    <col min="7173" max="7173" width="27.5546875" style="165" customWidth="1"/>
    <col min="7174" max="7174" width="12.44140625" style="165" customWidth="1"/>
    <col min="7175" max="7175" width="11.5546875" style="165" customWidth="1"/>
    <col min="7176" max="7176" width="18.44140625" style="165" customWidth="1"/>
    <col min="7177" max="7177" width="9.44140625" style="165" customWidth="1"/>
    <col min="7178" max="7178" width="19" style="165" customWidth="1"/>
    <col min="7179" max="7179" width="11.88671875" style="165" customWidth="1"/>
    <col min="7180" max="7180" width="9.109375" style="165"/>
    <col min="7181" max="7181" width="6" style="165" customWidth="1"/>
    <col min="7182" max="7182" width="35.44140625" style="165" customWidth="1"/>
    <col min="7183" max="7183" width="14.88671875" style="165" customWidth="1"/>
    <col min="7184" max="7184" width="6" style="165" customWidth="1"/>
    <col min="7185" max="7185" width="7.5546875" style="165" customWidth="1"/>
    <col min="7186" max="7186" width="8.5546875" style="165" customWidth="1"/>
    <col min="7187" max="7187" width="12.44140625" style="165" customWidth="1"/>
    <col min="7188" max="7188" width="8.5546875" style="165" customWidth="1"/>
    <col min="7189" max="7189" width="8" style="165" customWidth="1"/>
    <col min="7190" max="7425" width="9.109375" style="165"/>
    <col min="7426" max="7426" width="11.109375" style="165" customWidth="1"/>
    <col min="7427" max="7427" width="42" style="165" customWidth="1"/>
    <col min="7428" max="7428" width="21.88671875" style="165" customWidth="1"/>
    <col min="7429" max="7429" width="27.5546875" style="165" customWidth="1"/>
    <col min="7430" max="7430" width="12.44140625" style="165" customWidth="1"/>
    <col min="7431" max="7431" width="11.5546875" style="165" customWidth="1"/>
    <col min="7432" max="7432" width="18.44140625" style="165" customWidth="1"/>
    <col min="7433" max="7433" width="9.44140625" style="165" customWidth="1"/>
    <col min="7434" max="7434" width="19" style="165" customWidth="1"/>
    <col min="7435" max="7435" width="11.88671875" style="165" customWidth="1"/>
    <col min="7436" max="7436" width="9.109375" style="165"/>
    <col min="7437" max="7437" width="6" style="165" customWidth="1"/>
    <col min="7438" max="7438" width="35.44140625" style="165" customWidth="1"/>
    <col min="7439" max="7439" width="14.88671875" style="165" customWidth="1"/>
    <col min="7440" max="7440" width="6" style="165" customWidth="1"/>
    <col min="7441" max="7441" width="7.5546875" style="165" customWidth="1"/>
    <col min="7442" max="7442" width="8.5546875" style="165" customWidth="1"/>
    <col min="7443" max="7443" width="12.44140625" style="165" customWidth="1"/>
    <col min="7444" max="7444" width="8.5546875" style="165" customWidth="1"/>
    <col min="7445" max="7445" width="8" style="165" customWidth="1"/>
    <col min="7446" max="7681" width="9.109375" style="165"/>
    <col min="7682" max="7682" width="11.109375" style="165" customWidth="1"/>
    <col min="7683" max="7683" width="42" style="165" customWidth="1"/>
    <col min="7684" max="7684" width="21.88671875" style="165" customWidth="1"/>
    <col min="7685" max="7685" width="27.5546875" style="165" customWidth="1"/>
    <col min="7686" max="7686" width="12.44140625" style="165" customWidth="1"/>
    <col min="7687" max="7687" width="11.5546875" style="165" customWidth="1"/>
    <col min="7688" max="7688" width="18.44140625" style="165" customWidth="1"/>
    <col min="7689" max="7689" width="9.44140625" style="165" customWidth="1"/>
    <col min="7690" max="7690" width="19" style="165" customWidth="1"/>
    <col min="7691" max="7691" width="11.88671875" style="165" customWidth="1"/>
    <col min="7692" max="7692" width="9.109375" style="165"/>
    <col min="7693" max="7693" width="6" style="165" customWidth="1"/>
    <col min="7694" max="7694" width="35.44140625" style="165" customWidth="1"/>
    <col min="7695" max="7695" width="14.88671875" style="165" customWidth="1"/>
    <col min="7696" max="7696" width="6" style="165" customWidth="1"/>
    <col min="7697" max="7697" width="7.5546875" style="165" customWidth="1"/>
    <col min="7698" max="7698" width="8.5546875" style="165" customWidth="1"/>
    <col min="7699" max="7699" width="12.44140625" style="165" customWidth="1"/>
    <col min="7700" max="7700" width="8.5546875" style="165" customWidth="1"/>
    <col min="7701" max="7701" width="8" style="165" customWidth="1"/>
    <col min="7702" max="7937" width="9.109375" style="165"/>
    <col min="7938" max="7938" width="11.109375" style="165" customWidth="1"/>
    <col min="7939" max="7939" width="42" style="165" customWidth="1"/>
    <col min="7940" max="7940" width="21.88671875" style="165" customWidth="1"/>
    <col min="7941" max="7941" width="27.5546875" style="165" customWidth="1"/>
    <col min="7942" max="7942" width="12.44140625" style="165" customWidth="1"/>
    <col min="7943" max="7943" width="11.5546875" style="165" customWidth="1"/>
    <col min="7944" max="7944" width="18.44140625" style="165" customWidth="1"/>
    <col min="7945" max="7945" width="9.44140625" style="165" customWidth="1"/>
    <col min="7946" max="7946" width="19" style="165" customWidth="1"/>
    <col min="7947" max="7947" width="11.88671875" style="165" customWidth="1"/>
    <col min="7948" max="7948" width="9.109375" style="165"/>
    <col min="7949" max="7949" width="6" style="165" customWidth="1"/>
    <col min="7950" max="7950" width="35.44140625" style="165" customWidth="1"/>
    <col min="7951" max="7951" width="14.88671875" style="165" customWidth="1"/>
    <col min="7952" max="7952" width="6" style="165" customWidth="1"/>
    <col min="7953" max="7953" width="7.5546875" style="165" customWidth="1"/>
    <col min="7954" max="7954" width="8.5546875" style="165" customWidth="1"/>
    <col min="7955" max="7955" width="12.44140625" style="165" customWidth="1"/>
    <col min="7956" max="7956" width="8.5546875" style="165" customWidth="1"/>
    <col min="7957" max="7957" width="8" style="165" customWidth="1"/>
    <col min="7958" max="8193" width="9.109375" style="165"/>
    <col min="8194" max="8194" width="11.109375" style="165" customWidth="1"/>
    <col min="8195" max="8195" width="42" style="165" customWidth="1"/>
    <col min="8196" max="8196" width="21.88671875" style="165" customWidth="1"/>
    <col min="8197" max="8197" width="27.5546875" style="165" customWidth="1"/>
    <col min="8198" max="8198" width="12.44140625" style="165" customWidth="1"/>
    <col min="8199" max="8199" width="11.5546875" style="165" customWidth="1"/>
    <col min="8200" max="8200" width="18.44140625" style="165" customWidth="1"/>
    <col min="8201" max="8201" width="9.44140625" style="165" customWidth="1"/>
    <col min="8202" max="8202" width="19" style="165" customWidth="1"/>
    <col min="8203" max="8203" width="11.88671875" style="165" customWidth="1"/>
    <col min="8204" max="8204" width="9.109375" style="165"/>
    <col min="8205" max="8205" width="6" style="165" customWidth="1"/>
    <col min="8206" max="8206" width="35.44140625" style="165" customWidth="1"/>
    <col min="8207" max="8207" width="14.88671875" style="165" customWidth="1"/>
    <col min="8208" max="8208" width="6" style="165" customWidth="1"/>
    <col min="8209" max="8209" width="7.5546875" style="165" customWidth="1"/>
    <col min="8210" max="8210" width="8.5546875" style="165" customWidth="1"/>
    <col min="8211" max="8211" width="12.44140625" style="165" customWidth="1"/>
    <col min="8212" max="8212" width="8.5546875" style="165" customWidth="1"/>
    <col min="8213" max="8213" width="8" style="165" customWidth="1"/>
    <col min="8214" max="8449" width="9.109375" style="165"/>
    <col min="8450" max="8450" width="11.109375" style="165" customWidth="1"/>
    <col min="8451" max="8451" width="42" style="165" customWidth="1"/>
    <col min="8452" max="8452" width="21.88671875" style="165" customWidth="1"/>
    <col min="8453" max="8453" width="27.5546875" style="165" customWidth="1"/>
    <col min="8454" max="8454" width="12.44140625" style="165" customWidth="1"/>
    <col min="8455" max="8455" width="11.5546875" style="165" customWidth="1"/>
    <col min="8456" max="8456" width="18.44140625" style="165" customWidth="1"/>
    <col min="8457" max="8457" width="9.44140625" style="165" customWidth="1"/>
    <col min="8458" max="8458" width="19" style="165" customWidth="1"/>
    <col min="8459" max="8459" width="11.88671875" style="165" customWidth="1"/>
    <col min="8460" max="8460" width="9.109375" style="165"/>
    <col min="8461" max="8461" width="6" style="165" customWidth="1"/>
    <col min="8462" max="8462" width="35.44140625" style="165" customWidth="1"/>
    <col min="8463" max="8463" width="14.88671875" style="165" customWidth="1"/>
    <col min="8464" max="8464" width="6" style="165" customWidth="1"/>
    <col min="8465" max="8465" width="7.5546875" style="165" customWidth="1"/>
    <col min="8466" max="8466" width="8.5546875" style="165" customWidth="1"/>
    <col min="8467" max="8467" width="12.44140625" style="165" customWidth="1"/>
    <col min="8468" max="8468" width="8.5546875" style="165" customWidth="1"/>
    <col min="8469" max="8469" width="8" style="165" customWidth="1"/>
    <col min="8470" max="8705" width="9.109375" style="165"/>
    <col min="8706" max="8706" width="11.109375" style="165" customWidth="1"/>
    <col min="8707" max="8707" width="42" style="165" customWidth="1"/>
    <col min="8708" max="8708" width="21.88671875" style="165" customWidth="1"/>
    <col min="8709" max="8709" width="27.5546875" style="165" customWidth="1"/>
    <col min="8710" max="8710" width="12.44140625" style="165" customWidth="1"/>
    <col min="8711" max="8711" width="11.5546875" style="165" customWidth="1"/>
    <col min="8712" max="8712" width="18.44140625" style="165" customWidth="1"/>
    <col min="8713" max="8713" width="9.44140625" style="165" customWidth="1"/>
    <col min="8714" max="8714" width="19" style="165" customWidth="1"/>
    <col min="8715" max="8715" width="11.88671875" style="165" customWidth="1"/>
    <col min="8716" max="8716" width="9.109375" style="165"/>
    <col min="8717" max="8717" width="6" style="165" customWidth="1"/>
    <col min="8718" max="8718" width="35.44140625" style="165" customWidth="1"/>
    <col min="8719" max="8719" width="14.88671875" style="165" customWidth="1"/>
    <col min="8720" max="8720" width="6" style="165" customWidth="1"/>
    <col min="8721" max="8721" width="7.5546875" style="165" customWidth="1"/>
    <col min="8722" max="8722" width="8.5546875" style="165" customWidth="1"/>
    <col min="8723" max="8723" width="12.44140625" style="165" customWidth="1"/>
    <col min="8724" max="8724" width="8.5546875" style="165" customWidth="1"/>
    <col min="8725" max="8725" width="8" style="165" customWidth="1"/>
    <col min="8726" max="8961" width="9.109375" style="165"/>
    <col min="8962" max="8962" width="11.109375" style="165" customWidth="1"/>
    <col min="8963" max="8963" width="42" style="165" customWidth="1"/>
    <col min="8964" max="8964" width="21.88671875" style="165" customWidth="1"/>
    <col min="8965" max="8965" width="27.5546875" style="165" customWidth="1"/>
    <col min="8966" max="8966" width="12.44140625" style="165" customWidth="1"/>
    <col min="8967" max="8967" width="11.5546875" style="165" customWidth="1"/>
    <col min="8968" max="8968" width="18.44140625" style="165" customWidth="1"/>
    <col min="8969" max="8969" width="9.44140625" style="165" customWidth="1"/>
    <col min="8970" max="8970" width="19" style="165" customWidth="1"/>
    <col min="8971" max="8971" width="11.88671875" style="165" customWidth="1"/>
    <col min="8972" max="8972" width="9.109375" style="165"/>
    <col min="8973" max="8973" width="6" style="165" customWidth="1"/>
    <col min="8974" max="8974" width="35.44140625" style="165" customWidth="1"/>
    <col min="8975" max="8975" width="14.88671875" style="165" customWidth="1"/>
    <col min="8976" max="8976" width="6" style="165" customWidth="1"/>
    <col min="8977" max="8977" width="7.5546875" style="165" customWidth="1"/>
    <col min="8978" max="8978" width="8.5546875" style="165" customWidth="1"/>
    <col min="8979" max="8979" width="12.44140625" style="165" customWidth="1"/>
    <col min="8980" max="8980" width="8.5546875" style="165" customWidth="1"/>
    <col min="8981" max="8981" width="8" style="165" customWidth="1"/>
    <col min="8982" max="9217" width="9.109375" style="165"/>
    <col min="9218" max="9218" width="11.109375" style="165" customWidth="1"/>
    <col min="9219" max="9219" width="42" style="165" customWidth="1"/>
    <col min="9220" max="9220" width="21.88671875" style="165" customWidth="1"/>
    <col min="9221" max="9221" width="27.5546875" style="165" customWidth="1"/>
    <col min="9222" max="9222" width="12.44140625" style="165" customWidth="1"/>
    <col min="9223" max="9223" width="11.5546875" style="165" customWidth="1"/>
    <col min="9224" max="9224" width="18.44140625" style="165" customWidth="1"/>
    <col min="9225" max="9225" width="9.44140625" style="165" customWidth="1"/>
    <col min="9226" max="9226" width="19" style="165" customWidth="1"/>
    <col min="9227" max="9227" width="11.88671875" style="165" customWidth="1"/>
    <col min="9228" max="9228" width="9.109375" style="165"/>
    <col min="9229" max="9229" width="6" style="165" customWidth="1"/>
    <col min="9230" max="9230" width="35.44140625" style="165" customWidth="1"/>
    <col min="9231" max="9231" width="14.88671875" style="165" customWidth="1"/>
    <col min="9232" max="9232" width="6" style="165" customWidth="1"/>
    <col min="9233" max="9233" width="7.5546875" style="165" customWidth="1"/>
    <col min="9234" max="9234" width="8.5546875" style="165" customWidth="1"/>
    <col min="9235" max="9235" width="12.44140625" style="165" customWidth="1"/>
    <col min="9236" max="9236" width="8.5546875" style="165" customWidth="1"/>
    <col min="9237" max="9237" width="8" style="165" customWidth="1"/>
    <col min="9238" max="9473" width="9.109375" style="165"/>
    <col min="9474" max="9474" width="11.109375" style="165" customWidth="1"/>
    <col min="9475" max="9475" width="42" style="165" customWidth="1"/>
    <col min="9476" max="9476" width="21.88671875" style="165" customWidth="1"/>
    <col min="9477" max="9477" width="27.5546875" style="165" customWidth="1"/>
    <col min="9478" max="9478" width="12.44140625" style="165" customWidth="1"/>
    <col min="9479" max="9479" width="11.5546875" style="165" customWidth="1"/>
    <col min="9480" max="9480" width="18.44140625" style="165" customWidth="1"/>
    <col min="9481" max="9481" width="9.44140625" style="165" customWidth="1"/>
    <col min="9482" max="9482" width="19" style="165" customWidth="1"/>
    <col min="9483" max="9483" width="11.88671875" style="165" customWidth="1"/>
    <col min="9484" max="9484" width="9.109375" style="165"/>
    <col min="9485" max="9485" width="6" style="165" customWidth="1"/>
    <col min="9486" max="9486" width="35.44140625" style="165" customWidth="1"/>
    <col min="9487" max="9487" width="14.88671875" style="165" customWidth="1"/>
    <col min="9488" max="9488" width="6" style="165" customWidth="1"/>
    <col min="9489" max="9489" width="7.5546875" style="165" customWidth="1"/>
    <col min="9490" max="9490" width="8.5546875" style="165" customWidth="1"/>
    <col min="9491" max="9491" width="12.44140625" style="165" customWidth="1"/>
    <col min="9492" max="9492" width="8.5546875" style="165" customWidth="1"/>
    <col min="9493" max="9493" width="8" style="165" customWidth="1"/>
    <col min="9494" max="9729" width="9.109375" style="165"/>
    <col min="9730" max="9730" width="11.109375" style="165" customWidth="1"/>
    <col min="9731" max="9731" width="42" style="165" customWidth="1"/>
    <col min="9732" max="9732" width="21.88671875" style="165" customWidth="1"/>
    <col min="9733" max="9733" width="27.5546875" style="165" customWidth="1"/>
    <col min="9734" max="9734" width="12.44140625" style="165" customWidth="1"/>
    <col min="9735" max="9735" width="11.5546875" style="165" customWidth="1"/>
    <col min="9736" max="9736" width="18.44140625" style="165" customWidth="1"/>
    <col min="9737" max="9737" width="9.44140625" style="165" customWidth="1"/>
    <col min="9738" max="9738" width="19" style="165" customWidth="1"/>
    <col min="9739" max="9739" width="11.88671875" style="165" customWidth="1"/>
    <col min="9740" max="9740" width="9.109375" style="165"/>
    <col min="9741" max="9741" width="6" style="165" customWidth="1"/>
    <col min="9742" max="9742" width="35.44140625" style="165" customWidth="1"/>
    <col min="9743" max="9743" width="14.88671875" style="165" customWidth="1"/>
    <col min="9744" max="9744" width="6" style="165" customWidth="1"/>
    <col min="9745" max="9745" width="7.5546875" style="165" customWidth="1"/>
    <col min="9746" max="9746" width="8.5546875" style="165" customWidth="1"/>
    <col min="9747" max="9747" width="12.44140625" style="165" customWidth="1"/>
    <col min="9748" max="9748" width="8.5546875" style="165" customWidth="1"/>
    <col min="9749" max="9749" width="8" style="165" customWidth="1"/>
    <col min="9750" max="9985" width="9.109375" style="165"/>
    <col min="9986" max="9986" width="11.109375" style="165" customWidth="1"/>
    <col min="9987" max="9987" width="42" style="165" customWidth="1"/>
    <col min="9988" max="9988" width="21.88671875" style="165" customWidth="1"/>
    <col min="9989" max="9989" width="27.5546875" style="165" customWidth="1"/>
    <col min="9990" max="9990" width="12.44140625" style="165" customWidth="1"/>
    <col min="9991" max="9991" width="11.5546875" style="165" customWidth="1"/>
    <col min="9992" max="9992" width="18.44140625" style="165" customWidth="1"/>
    <col min="9993" max="9993" width="9.44140625" style="165" customWidth="1"/>
    <col min="9994" max="9994" width="19" style="165" customWidth="1"/>
    <col min="9995" max="9995" width="11.88671875" style="165" customWidth="1"/>
    <col min="9996" max="9996" width="9.109375" style="165"/>
    <col min="9997" max="9997" width="6" style="165" customWidth="1"/>
    <col min="9998" max="9998" width="35.44140625" style="165" customWidth="1"/>
    <col min="9999" max="9999" width="14.88671875" style="165" customWidth="1"/>
    <col min="10000" max="10000" width="6" style="165" customWidth="1"/>
    <col min="10001" max="10001" width="7.5546875" style="165" customWidth="1"/>
    <col min="10002" max="10002" width="8.5546875" style="165" customWidth="1"/>
    <col min="10003" max="10003" width="12.44140625" style="165" customWidth="1"/>
    <col min="10004" max="10004" width="8.5546875" style="165" customWidth="1"/>
    <col min="10005" max="10005" width="8" style="165" customWidth="1"/>
    <col min="10006" max="10241" width="9.109375" style="165"/>
    <col min="10242" max="10242" width="11.109375" style="165" customWidth="1"/>
    <col min="10243" max="10243" width="42" style="165" customWidth="1"/>
    <col min="10244" max="10244" width="21.88671875" style="165" customWidth="1"/>
    <col min="10245" max="10245" width="27.5546875" style="165" customWidth="1"/>
    <col min="10246" max="10246" width="12.44140625" style="165" customWidth="1"/>
    <col min="10247" max="10247" width="11.5546875" style="165" customWidth="1"/>
    <col min="10248" max="10248" width="18.44140625" style="165" customWidth="1"/>
    <col min="10249" max="10249" width="9.44140625" style="165" customWidth="1"/>
    <col min="10250" max="10250" width="19" style="165" customWidth="1"/>
    <col min="10251" max="10251" width="11.88671875" style="165" customWidth="1"/>
    <col min="10252" max="10252" width="9.109375" style="165"/>
    <col min="10253" max="10253" width="6" style="165" customWidth="1"/>
    <col min="10254" max="10254" width="35.44140625" style="165" customWidth="1"/>
    <col min="10255" max="10255" width="14.88671875" style="165" customWidth="1"/>
    <col min="10256" max="10256" width="6" style="165" customWidth="1"/>
    <col min="10257" max="10257" width="7.5546875" style="165" customWidth="1"/>
    <col min="10258" max="10258" width="8.5546875" style="165" customWidth="1"/>
    <col min="10259" max="10259" width="12.44140625" style="165" customWidth="1"/>
    <col min="10260" max="10260" width="8.5546875" style="165" customWidth="1"/>
    <col min="10261" max="10261" width="8" style="165" customWidth="1"/>
    <col min="10262" max="10497" width="9.109375" style="165"/>
    <col min="10498" max="10498" width="11.109375" style="165" customWidth="1"/>
    <col min="10499" max="10499" width="42" style="165" customWidth="1"/>
    <col min="10500" max="10500" width="21.88671875" style="165" customWidth="1"/>
    <col min="10501" max="10501" width="27.5546875" style="165" customWidth="1"/>
    <col min="10502" max="10502" width="12.44140625" style="165" customWidth="1"/>
    <col min="10503" max="10503" width="11.5546875" style="165" customWidth="1"/>
    <col min="10504" max="10504" width="18.44140625" style="165" customWidth="1"/>
    <col min="10505" max="10505" width="9.44140625" style="165" customWidth="1"/>
    <col min="10506" max="10506" width="19" style="165" customWidth="1"/>
    <col min="10507" max="10507" width="11.88671875" style="165" customWidth="1"/>
    <col min="10508" max="10508" width="9.109375" style="165"/>
    <col min="10509" max="10509" width="6" style="165" customWidth="1"/>
    <col min="10510" max="10510" width="35.44140625" style="165" customWidth="1"/>
    <col min="10511" max="10511" width="14.88671875" style="165" customWidth="1"/>
    <col min="10512" max="10512" width="6" style="165" customWidth="1"/>
    <col min="10513" max="10513" width="7.5546875" style="165" customWidth="1"/>
    <col min="10514" max="10514" width="8.5546875" style="165" customWidth="1"/>
    <col min="10515" max="10515" width="12.44140625" style="165" customWidth="1"/>
    <col min="10516" max="10516" width="8.5546875" style="165" customWidth="1"/>
    <col min="10517" max="10517" width="8" style="165" customWidth="1"/>
    <col min="10518" max="10753" width="9.109375" style="165"/>
    <col min="10754" max="10754" width="11.109375" style="165" customWidth="1"/>
    <col min="10755" max="10755" width="42" style="165" customWidth="1"/>
    <col min="10756" max="10756" width="21.88671875" style="165" customWidth="1"/>
    <col min="10757" max="10757" width="27.5546875" style="165" customWidth="1"/>
    <col min="10758" max="10758" width="12.44140625" style="165" customWidth="1"/>
    <col min="10759" max="10759" width="11.5546875" style="165" customWidth="1"/>
    <col min="10760" max="10760" width="18.44140625" style="165" customWidth="1"/>
    <col min="10761" max="10761" width="9.44140625" style="165" customWidth="1"/>
    <col min="10762" max="10762" width="19" style="165" customWidth="1"/>
    <col min="10763" max="10763" width="11.88671875" style="165" customWidth="1"/>
    <col min="10764" max="10764" width="9.109375" style="165"/>
    <col min="10765" max="10765" width="6" style="165" customWidth="1"/>
    <col min="10766" max="10766" width="35.44140625" style="165" customWidth="1"/>
    <col min="10767" max="10767" width="14.88671875" style="165" customWidth="1"/>
    <col min="10768" max="10768" width="6" style="165" customWidth="1"/>
    <col min="10769" max="10769" width="7.5546875" style="165" customWidth="1"/>
    <col min="10770" max="10770" width="8.5546875" style="165" customWidth="1"/>
    <col min="10771" max="10771" width="12.44140625" style="165" customWidth="1"/>
    <col min="10772" max="10772" width="8.5546875" style="165" customWidth="1"/>
    <col min="10773" max="10773" width="8" style="165" customWidth="1"/>
    <col min="10774" max="11009" width="9.109375" style="165"/>
    <col min="11010" max="11010" width="11.109375" style="165" customWidth="1"/>
    <col min="11011" max="11011" width="42" style="165" customWidth="1"/>
    <col min="11012" max="11012" width="21.88671875" style="165" customWidth="1"/>
    <col min="11013" max="11013" width="27.5546875" style="165" customWidth="1"/>
    <col min="11014" max="11014" width="12.44140625" style="165" customWidth="1"/>
    <col min="11015" max="11015" width="11.5546875" style="165" customWidth="1"/>
    <col min="11016" max="11016" width="18.44140625" style="165" customWidth="1"/>
    <col min="11017" max="11017" width="9.44140625" style="165" customWidth="1"/>
    <col min="11018" max="11018" width="19" style="165" customWidth="1"/>
    <col min="11019" max="11019" width="11.88671875" style="165" customWidth="1"/>
    <col min="11020" max="11020" width="9.109375" style="165"/>
    <col min="11021" max="11021" width="6" style="165" customWidth="1"/>
    <col min="11022" max="11022" width="35.44140625" style="165" customWidth="1"/>
    <col min="11023" max="11023" width="14.88671875" style="165" customWidth="1"/>
    <col min="11024" max="11024" width="6" style="165" customWidth="1"/>
    <col min="11025" max="11025" width="7.5546875" style="165" customWidth="1"/>
    <col min="11026" max="11026" width="8.5546875" style="165" customWidth="1"/>
    <col min="11027" max="11027" width="12.44140625" style="165" customWidth="1"/>
    <col min="11028" max="11028" width="8.5546875" style="165" customWidth="1"/>
    <col min="11029" max="11029" width="8" style="165" customWidth="1"/>
    <col min="11030" max="11265" width="9.109375" style="165"/>
    <col min="11266" max="11266" width="11.109375" style="165" customWidth="1"/>
    <col min="11267" max="11267" width="42" style="165" customWidth="1"/>
    <col min="11268" max="11268" width="21.88671875" style="165" customWidth="1"/>
    <col min="11269" max="11269" width="27.5546875" style="165" customWidth="1"/>
    <col min="11270" max="11270" width="12.44140625" style="165" customWidth="1"/>
    <col min="11271" max="11271" width="11.5546875" style="165" customWidth="1"/>
    <col min="11272" max="11272" width="18.44140625" style="165" customWidth="1"/>
    <col min="11273" max="11273" width="9.44140625" style="165" customWidth="1"/>
    <col min="11274" max="11274" width="19" style="165" customWidth="1"/>
    <col min="11275" max="11275" width="11.88671875" style="165" customWidth="1"/>
    <col min="11276" max="11276" width="9.109375" style="165"/>
    <col min="11277" max="11277" width="6" style="165" customWidth="1"/>
    <col min="11278" max="11278" width="35.44140625" style="165" customWidth="1"/>
    <col min="11279" max="11279" width="14.88671875" style="165" customWidth="1"/>
    <col min="11280" max="11280" width="6" style="165" customWidth="1"/>
    <col min="11281" max="11281" width="7.5546875" style="165" customWidth="1"/>
    <col min="11282" max="11282" width="8.5546875" style="165" customWidth="1"/>
    <col min="11283" max="11283" width="12.44140625" style="165" customWidth="1"/>
    <col min="11284" max="11284" width="8.5546875" style="165" customWidth="1"/>
    <col min="11285" max="11285" width="8" style="165" customWidth="1"/>
    <col min="11286" max="11521" width="9.109375" style="165"/>
    <col min="11522" max="11522" width="11.109375" style="165" customWidth="1"/>
    <col min="11523" max="11523" width="42" style="165" customWidth="1"/>
    <col min="11524" max="11524" width="21.88671875" style="165" customWidth="1"/>
    <col min="11525" max="11525" width="27.5546875" style="165" customWidth="1"/>
    <col min="11526" max="11526" width="12.44140625" style="165" customWidth="1"/>
    <col min="11527" max="11527" width="11.5546875" style="165" customWidth="1"/>
    <col min="11528" max="11528" width="18.44140625" style="165" customWidth="1"/>
    <col min="11529" max="11529" width="9.44140625" style="165" customWidth="1"/>
    <col min="11530" max="11530" width="19" style="165" customWidth="1"/>
    <col min="11531" max="11531" width="11.88671875" style="165" customWidth="1"/>
    <col min="11532" max="11532" width="9.109375" style="165"/>
    <col min="11533" max="11533" width="6" style="165" customWidth="1"/>
    <col min="11534" max="11534" width="35.44140625" style="165" customWidth="1"/>
    <col min="11535" max="11535" width="14.88671875" style="165" customWidth="1"/>
    <col min="11536" max="11536" width="6" style="165" customWidth="1"/>
    <col min="11537" max="11537" width="7.5546875" style="165" customWidth="1"/>
    <col min="11538" max="11538" width="8.5546875" style="165" customWidth="1"/>
    <col min="11539" max="11539" width="12.44140625" style="165" customWidth="1"/>
    <col min="11540" max="11540" width="8.5546875" style="165" customWidth="1"/>
    <col min="11541" max="11541" width="8" style="165" customWidth="1"/>
    <col min="11542" max="11777" width="9.109375" style="165"/>
    <col min="11778" max="11778" width="11.109375" style="165" customWidth="1"/>
    <col min="11779" max="11779" width="42" style="165" customWidth="1"/>
    <col min="11780" max="11780" width="21.88671875" style="165" customWidth="1"/>
    <col min="11781" max="11781" width="27.5546875" style="165" customWidth="1"/>
    <col min="11782" max="11782" width="12.44140625" style="165" customWidth="1"/>
    <col min="11783" max="11783" width="11.5546875" style="165" customWidth="1"/>
    <col min="11784" max="11784" width="18.44140625" style="165" customWidth="1"/>
    <col min="11785" max="11785" width="9.44140625" style="165" customWidth="1"/>
    <col min="11786" max="11786" width="19" style="165" customWidth="1"/>
    <col min="11787" max="11787" width="11.88671875" style="165" customWidth="1"/>
    <col min="11788" max="11788" width="9.109375" style="165"/>
    <col min="11789" max="11789" width="6" style="165" customWidth="1"/>
    <col min="11790" max="11790" width="35.44140625" style="165" customWidth="1"/>
    <col min="11791" max="11791" width="14.88671875" style="165" customWidth="1"/>
    <col min="11792" max="11792" width="6" style="165" customWidth="1"/>
    <col min="11793" max="11793" width="7.5546875" style="165" customWidth="1"/>
    <col min="11794" max="11794" width="8.5546875" style="165" customWidth="1"/>
    <col min="11795" max="11795" width="12.44140625" style="165" customWidth="1"/>
    <col min="11796" max="11796" width="8.5546875" style="165" customWidth="1"/>
    <col min="11797" max="11797" width="8" style="165" customWidth="1"/>
    <col min="11798" max="12033" width="9.109375" style="165"/>
    <col min="12034" max="12034" width="11.109375" style="165" customWidth="1"/>
    <col min="12035" max="12035" width="42" style="165" customWidth="1"/>
    <col min="12036" max="12036" width="21.88671875" style="165" customWidth="1"/>
    <col min="12037" max="12037" width="27.5546875" style="165" customWidth="1"/>
    <col min="12038" max="12038" width="12.44140625" style="165" customWidth="1"/>
    <col min="12039" max="12039" width="11.5546875" style="165" customWidth="1"/>
    <col min="12040" max="12040" width="18.44140625" style="165" customWidth="1"/>
    <col min="12041" max="12041" width="9.44140625" style="165" customWidth="1"/>
    <col min="12042" max="12042" width="19" style="165" customWidth="1"/>
    <col min="12043" max="12043" width="11.88671875" style="165" customWidth="1"/>
    <col min="12044" max="12044" width="9.109375" style="165"/>
    <col min="12045" max="12045" width="6" style="165" customWidth="1"/>
    <col min="12046" max="12046" width="35.44140625" style="165" customWidth="1"/>
    <col min="12047" max="12047" width="14.88671875" style="165" customWidth="1"/>
    <col min="12048" max="12048" width="6" style="165" customWidth="1"/>
    <col min="12049" max="12049" width="7.5546875" style="165" customWidth="1"/>
    <col min="12050" max="12050" width="8.5546875" style="165" customWidth="1"/>
    <col min="12051" max="12051" width="12.44140625" style="165" customWidth="1"/>
    <col min="12052" max="12052" width="8.5546875" style="165" customWidth="1"/>
    <col min="12053" max="12053" width="8" style="165" customWidth="1"/>
    <col min="12054" max="12289" width="9.109375" style="165"/>
    <col min="12290" max="12290" width="11.109375" style="165" customWidth="1"/>
    <col min="12291" max="12291" width="42" style="165" customWidth="1"/>
    <col min="12292" max="12292" width="21.88671875" style="165" customWidth="1"/>
    <col min="12293" max="12293" width="27.5546875" style="165" customWidth="1"/>
    <col min="12294" max="12294" width="12.44140625" style="165" customWidth="1"/>
    <col min="12295" max="12295" width="11.5546875" style="165" customWidth="1"/>
    <col min="12296" max="12296" width="18.44140625" style="165" customWidth="1"/>
    <col min="12297" max="12297" width="9.44140625" style="165" customWidth="1"/>
    <col min="12298" max="12298" width="19" style="165" customWidth="1"/>
    <col min="12299" max="12299" width="11.88671875" style="165" customWidth="1"/>
    <col min="12300" max="12300" width="9.109375" style="165"/>
    <col min="12301" max="12301" width="6" style="165" customWidth="1"/>
    <col min="12302" max="12302" width="35.44140625" style="165" customWidth="1"/>
    <col min="12303" max="12303" width="14.88671875" style="165" customWidth="1"/>
    <col min="12304" max="12304" width="6" style="165" customWidth="1"/>
    <col min="12305" max="12305" width="7.5546875" style="165" customWidth="1"/>
    <col min="12306" max="12306" width="8.5546875" style="165" customWidth="1"/>
    <col min="12307" max="12307" width="12.44140625" style="165" customWidth="1"/>
    <col min="12308" max="12308" width="8.5546875" style="165" customWidth="1"/>
    <col min="12309" max="12309" width="8" style="165" customWidth="1"/>
    <col min="12310" max="12545" width="9.109375" style="165"/>
    <col min="12546" max="12546" width="11.109375" style="165" customWidth="1"/>
    <col min="12547" max="12547" width="42" style="165" customWidth="1"/>
    <col min="12548" max="12548" width="21.88671875" style="165" customWidth="1"/>
    <col min="12549" max="12549" width="27.5546875" style="165" customWidth="1"/>
    <col min="12550" max="12550" width="12.44140625" style="165" customWidth="1"/>
    <col min="12551" max="12551" width="11.5546875" style="165" customWidth="1"/>
    <col min="12552" max="12552" width="18.44140625" style="165" customWidth="1"/>
    <col min="12553" max="12553" width="9.44140625" style="165" customWidth="1"/>
    <col min="12554" max="12554" width="19" style="165" customWidth="1"/>
    <col min="12555" max="12555" width="11.88671875" style="165" customWidth="1"/>
    <col min="12556" max="12556" width="9.109375" style="165"/>
    <col min="12557" max="12557" width="6" style="165" customWidth="1"/>
    <col min="12558" max="12558" width="35.44140625" style="165" customWidth="1"/>
    <col min="12559" max="12559" width="14.88671875" style="165" customWidth="1"/>
    <col min="12560" max="12560" width="6" style="165" customWidth="1"/>
    <col min="12561" max="12561" width="7.5546875" style="165" customWidth="1"/>
    <col min="12562" max="12562" width="8.5546875" style="165" customWidth="1"/>
    <col min="12563" max="12563" width="12.44140625" style="165" customWidth="1"/>
    <col min="12564" max="12564" width="8.5546875" style="165" customWidth="1"/>
    <col min="12565" max="12565" width="8" style="165" customWidth="1"/>
    <col min="12566" max="12801" width="9.109375" style="165"/>
    <col min="12802" max="12802" width="11.109375" style="165" customWidth="1"/>
    <col min="12803" max="12803" width="42" style="165" customWidth="1"/>
    <col min="12804" max="12804" width="21.88671875" style="165" customWidth="1"/>
    <col min="12805" max="12805" width="27.5546875" style="165" customWidth="1"/>
    <col min="12806" max="12806" width="12.44140625" style="165" customWidth="1"/>
    <col min="12807" max="12807" width="11.5546875" style="165" customWidth="1"/>
    <col min="12808" max="12808" width="18.44140625" style="165" customWidth="1"/>
    <col min="12809" max="12809" width="9.44140625" style="165" customWidth="1"/>
    <col min="12810" max="12810" width="19" style="165" customWidth="1"/>
    <col min="12811" max="12811" width="11.88671875" style="165" customWidth="1"/>
    <col min="12812" max="12812" width="9.109375" style="165"/>
    <col min="12813" max="12813" width="6" style="165" customWidth="1"/>
    <col min="12814" max="12814" width="35.44140625" style="165" customWidth="1"/>
    <col min="12815" max="12815" width="14.88671875" style="165" customWidth="1"/>
    <col min="12816" max="12816" width="6" style="165" customWidth="1"/>
    <col min="12817" max="12817" width="7.5546875" style="165" customWidth="1"/>
    <col min="12818" max="12818" width="8.5546875" style="165" customWidth="1"/>
    <col min="12819" max="12819" width="12.44140625" style="165" customWidth="1"/>
    <col min="12820" max="12820" width="8.5546875" style="165" customWidth="1"/>
    <col min="12821" max="12821" width="8" style="165" customWidth="1"/>
    <col min="12822" max="13057" width="9.109375" style="165"/>
    <col min="13058" max="13058" width="11.109375" style="165" customWidth="1"/>
    <col min="13059" max="13059" width="42" style="165" customWidth="1"/>
    <col min="13060" max="13060" width="21.88671875" style="165" customWidth="1"/>
    <col min="13061" max="13061" width="27.5546875" style="165" customWidth="1"/>
    <col min="13062" max="13062" width="12.44140625" style="165" customWidth="1"/>
    <col min="13063" max="13063" width="11.5546875" style="165" customWidth="1"/>
    <col min="13064" max="13064" width="18.44140625" style="165" customWidth="1"/>
    <col min="13065" max="13065" width="9.44140625" style="165" customWidth="1"/>
    <col min="13066" max="13066" width="19" style="165" customWidth="1"/>
    <col min="13067" max="13067" width="11.88671875" style="165" customWidth="1"/>
    <col min="13068" max="13068" width="9.109375" style="165"/>
    <col min="13069" max="13069" width="6" style="165" customWidth="1"/>
    <col min="13070" max="13070" width="35.44140625" style="165" customWidth="1"/>
    <col min="13071" max="13071" width="14.88671875" style="165" customWidth="1"/>
    <col min="13072" max="13072" width="6" style="165" customWidth="1"/>
    <col min="13073" max="13073" width="7.5546875" style="165" customWidth="1"/>
    <col min="13074" max="13074" width="8.5546875" style="165" customWidth="1"/>
    <col min="13075" max="13075" width="12.44140625" style="165" customWidth="1"/>
    <col min="13076" max="13076" width="8.5546875" style="165" customWidth="1"/>
    <col min="13077" max="13077" width="8" style="165" customWidth="1"/>
    <col min="13078" max="13313" width="9.109375" style="165"/>
    <col min="13314" max="13314" width="11.109375" style="165" customWidth="1"/>
    <col min="13315" max="13315" width="42" style="165" customWidth="1"/>
    <col min="13316" max="13316" width="21.88671875" style="165" customWidth="1"/>
    <col min="13317" max="13317" width="27.5546875" style="165" customWidth="1"/>
    <col min="13318" max="13318" width="12.44140625" style="165" customWidth="1"/>
    <col min="13319" max="13319" width="11.5546875" style="165" customWidth="1"/>
    <col min="13320" max="13320" width="18.44140625" style="165" customWidth="1"/>
    <col min="13321" max="13321" width="9.44140625" style="165" customWidth="1"/>
    <col min="13322" max="13322" width="19" style="165" customWidth="1"/>
    <col min="13323" max="13323" width="11.88671875" style="165" customWidth="1"/>
    <col min="13324" max="13324" width="9.109375" style="165"/>
    <col min="13325" max="13325" width="6" style="165" customWidth="1"/>
    <col min="13326" max="13326" width="35.44140625" style="165" customWidth="1"/>
    <col min="13327" max="13327" width="14.88671875" style="165" customWidth="1"/>
    <col min="13328" max="13328" width="6" style="165" customWidth="1"/>
    <col min="13329" max="13329" width="7.5546875" style="165" customWidth="1"/>
    <col min="13330" max="13330" width="8.5546875" style="165" customWidth="1"/>
    <col min="13331" max="13331" width="12.44140625" style="165" customWidth="1"/>
    <col min="13332" max="13332" width="8.5546875" style="165" customWidth="1"/>
    <col min="13333" max="13333" width="8" style="165" customWidth="1"/>
    <col min="13334" max="13569" width="9.109375" style="165"/>
    <col min="13570" max="13570" width="11.109375" style="165" customWidth="1"/>
    <col min="13571" max="13571" width="42" style="165" customWidth="1"/>
    <col min="13572" max="13572" width="21.88671875" style="165" customWidth="1"/>
    <col min="13573" max="13573" width="27.5546875" style="165" customWidth="1"/>
    <col min="13574" max="13574" width="12.44140625" style="165" customWidth="1"/>
    <col min="13575" max="13575" width="11.5546875" style="165" customWidth="1"/>
    <col min="13576" max="13576" width="18.44140625" style="165" customWidth="1"/>
    <col min="13577" max="13577" width="9.44140625" style="165" customWidth="1"/>
    <col min="13578" max="13578" width="19" style="165" customWidth="1"/>
    <col min="13579" max="13579" width="11.88671875" style="165" customWidth="1"/>
    <col min="13580" max="13580" width="9.109375" style="165"/>
    <col min="13581" max="13581" width="6" style="165" customWidth="1"/>
    <col min="13582" max="13582" width="35.44140625" style="165" customWidth="1"/>
    <col min="13583" max="13583" width="14.88671875" style="165" customWidth="1"/>
    <col min="13584" max="13584" width="6" style="165" customWidth="1"/>
    <col min="13585" max="13585" width="7.5546875" style="165" customWidth="1"/>
    <col min="13586" max="13586" width="8.5546875" style="165" customWidth="1"/>
    <col min="13587" max="13587" width="12.44140625" style="165" customWidth="1"/>
    <col min="13588" max="13588" width="8.5546875" style="165" customWidth="1"/>
    <col min="13589" max="13589" width="8" style="165" customWidth="1"/>
    <col min="13590" max="13825" width="9.109375" style="165"/>
    <col min="13826" max="13826" width="11.109375" style="165" customWidth="1"/>
    <col min="13827" max="13827" width="42" style="165" customWidth="1"/>
    <col min="13828" max="13828" width="21.88671875" style="165" customWidth="1"/>
    <col min="13829" max="13829" width="27.5546875" style="165" customWidth="1"/>
    <col min="13830" max="13830" width="12.44140625" style="165" customWidth="1"/>
    <col min="13831" max="13831" width="11.5546875" style="165" customWidth="1"/>
    <col min="13832" max="13832" width="18.44140625" style="165" customWidth="1"/>
    <col min="13833" max="13833" width="9.44140625" style="165" customWidth="1"/>
    <col min="13834" max="13834" width="19" style="165" customWidth="1"/>
    <col min="13835" max="13835" width="11.88671875" style="165" customWidth="1"/>
    <col min="13836" max="13836" width="9.109375" style="165"/>
    <col min="13837" max="13837" width="6" style="165" customWidth="1"/>
    <col min="13838" max="13838" width="35.44140625" style="165" customWidth="1"/>
    <col min="13839" max="13839" width="14.88671875" style="165" customWidth="1"/>
    <col min="13840" max="13840" width="6" style="165" customWidth="1"/>
    <col min="13841" max="13841" width="7.5546875" style="165" customWidth="1"/>
    <col min="13842" max="13842" width="8.5546875" style="165" customWidth="1"/>
    <col min="13843" max="13843" width="12.44140625" style="165" customWidth="1"/>
    <col min="13844" max="13844" width="8.5546875" style="165" customWidth="1"/>
    <col min="13845" max="13845" width="8" style="165" customWidth="1"/>
    <col min="13846" max="14081" width="9.109375" style="165"/>
    <col min="14082" max="14082" width="11.109375" style="165" customWidth="1"/>
    <col min="14083" max="14083" width="42" style="165" customWidth="1"/>
    <col min="14084" max="14084" width="21.88671875" style="165" customWidth="1"/>
    <col min="14085" max="14085" width="27.5546875" style="165" customWidth="1"/>
    <col min="14086" max="14086" width="12.44140625" style="165" customWidth="1"/>
    <col min="14087" max="14087" width="11.5546875" style="165" customWidth="1"/>
    <col min="14088" max="14088" width="18.44140625" style="165" customWidth="1"/>
    <col min="14089" max="14089" width="9.44140625" style="165" customWidth="1"/>
    <col min="14090" max="14090" width="19" style="165" customWidth="1"/>
    <col min="14091" max="14091" width="11.88671875" style="165" customWidth="1"/>
    <col min="14092" max="14092" width="9.109375" style="165"/>
    <col min="14093" max="14093" width="6" style="165" customWidth="1"/>
    <col min="14094" max="14094" width="35.44140625" style="165" customWidth="1"/>
    <col min="14095" max="14095" width="14.88671875" style="165" customWidth="1"/>
    <col min="14096" max="14096" width="6" style="165" customWidth="1"/>
    <col min="14097" max="14097" width="7.5546875" style="165" customWidth="1"/>
    <col min="14098" max="14098" width="8.5546875" style="165" customWidth="1"/>
    <col min="14099" max="14099" width="12.44140625" style="165" customWidth="1"/>
    <col min="14100" max="14100" width="8.5546875" style="165" customWidth="1"/>
    <col min="14101" max="14101" width="8" style="165" customWidth="1"/>
    <col min="14102" max="14337" width="9.109375" style="165"/>
    <col min="14338" max="14338" width="11.109375" style="165" customWidth="1"/>
    <col min="14339" max="14339" width="42" style="165" customWidth="1"/>
    <col min="14340" max="14340" width="21.88671875" style="165" customWidth="1"/>
    <col min="14341" max="14341" width="27.5546875" style="165" customWidth="1"/>
    <col min="14342" max="14342" width="12.44140625" style="165" customWidth="1"/>
    <col min="14343" max="14343" width="11.5546875" style="165" customWidth="1"/>
    <col min="14344" max="14344" width="18.44140625" style="165" customWidth="1"/>
    <col min="14345" max="14345" width="9.44140625" style="165" customWidth="1"/>
    <col min="14346" max="14346" width="19" style="165" customWidth="1"/>
    <col min="14347" max="14347" width="11.88671875" style="165" customWidth="1"/>
    <col min="14348" max="14348" width="9.109375" style="165"/>
    <col min="14349" max="14349" width="6" style="165" customWidth="1"/>
    <col min="14350" max="14350" width="35.44140625" style="165" customWidth="1"/>
    <col min="14351" max="14351" width="14.88671875" style="165" customWidth="1"/>
    <col min="14352" max="14352" width="6" style="165" customWidth="1"/>
    <col min="14353" max="14353" width="7.5546875" style="165" customWidth="1"/>
    <col min="14354" max="14354" width="8.5546875" style="165" customWidth="1"/>
    <col min="14355" max="14355" width="12.44140625" style="165" customWidth="1"/>
    <col min="14356" max="14356" width="8.5546875" style="165" customWidth="1"/>
    <col min="14357" max="14357" width="8" style="165" customWidth="1"/>
    <col min="14358" max="14593" width="9.109375" style="165"/>
    <col min="14594" max="14594" width="11.109375" style="165" customWidth="1"/>
    <col min="14595" max="14595" width="42" style="165" customWidth="1"/>
    <col min="14596" max="14596" width="21.88671875" style="165" customWidth="1"/>
    <col min="14597" max="14597" width="27.5546875" style="165" customWidth="1"/>
    <col min="14598" max="14598" width="12.44140625" style="165" customWidth="1"/>
    <col min="14599" max="14599" width="11.5546875" style="165" customWidth="1"/>
    <col min="14600" max="14600" width="18.44140625" style="165" customWidth="1"/>
    <col min="14601" max="14601" width="9.44140625" style="165" customWidth="1"/>
    <col min="14602" max="14602" width="19" style="165" customWidth="1"/>
    <col min="14603" max="14603" width="11.88671875" style="165" customWidth="1"/>
    <col min="14604" max="14604" width="9.109375" style="165"/>
    <col min="14605" max="14605" width="6" style="165" customWidth="1"/>
    <col min="14606" max="14606" width="35.44140625" style="165" customWidth="1"/>
    <col min="14607" max="14607" width="14.88671875" style="165" customWidth="1"/>
    <col min="14608" max="14608" width="6" style="165" customWidth="1"/>
    <col min="14609" max="14609" width="7.5546875" style="165" customWidth="1"/>
    <col min="14610" max="14610" width="8.5546875" style="165" customWidth="1"/>
    <col min="14611" max="14611" width="12.44140625" style="165" customWidth="1"/>
    <col min="14612" max="14612" width="8.5546875" style="165" customWidth="1"/>
    <col min="14613" max="14613" width="8" style="165" customWidth="1"/>
    <col min="14614" max="14849" width="9.109375" style="165"/>
    <col min="14850" max="14850" width="11.109375" style="165" customWidth="1"/>
    <col min="14851" max="14851" width="42" style="165" customWidth="1"/>
    <col min="14852" max="14852" width="21.88671875" style="165" customWidth="1"/>
    <col min="14853" max="14853" width="27.5546875" style="165" customWidth="1"/>
    <col min="14854" max="14854" width="12.44140625" style="165" customWidth="1"/>
    <col min="14855" max="14855" width="11.5546875" style="165" customWidth="1"/>
    <col min="14856" max="14856" width="18.44140625" style="165" customWidth="1"/>
    <col min="14857" max="14857" width="9.44140625" style="165" customWidth="1"/>
    <col min="14858" max="14858" width="19" style="165" customWidth="1"/>
    <col min="14859" max="14859" width="11.88671875" style="165" customWidth="1"/>
    <col min="14860" max="14860" width="9.109375" style="165"/>
    <col min="14861" max="14861" width="6" style="165" customWidth="1"/>
    <col min="14862" max="14862" width="35.44140625" style="165" customWidth="1"/>
    <col min="14863" max="14863" width="14.88671875" style="165" customWidth="1"/>
    <col min="14864" max="14864" width="6" style="165" customWidth="1"/>
    <col min="14865" max="14865" width="7.5546875" style="165" customWidth="1"/>
    <col min="14866" max="14866" width="8.5546875" style="165" customWidth="1"/>
    <col min="14867" max="14867" width="12.44140625" style="165" customWidth="1"/>
    <col min="14868" max="14868" width="8.5546875" style="165" customWidth="1"/>
    <col min="14869" max="14869" width="8" style="165" customWidth="1"/>
    <col min="14870" max="15105" width="9.109375" style="165"/>
    <col min="15106" max="15106" width="11.109375" style="165" customWidth="1"/>
    <col min="15107" max="15107" width="42" style="165" customWidth="1"/>
    <col min="15108" max="15108" width="21.88671875" style="165" customWidth="1"/>
    <col min="15109" max="15109" width="27.5546875" style="165" customWidth="1"/>
    <col min="15110" max="15110" width="12.44140625" style="165" customWidth="1"/>
    <col min="15111" max="15111" width="11.5546875" style="165" customWidth="1"/>
    <col min="15112" max="15112" width="18.44140625" style="165" customWidth="1"/>
    <col min="15113" max="15113" width="9.44140625" style="165" customWidth="1"/>
    <col min="15114" max="15114" width="19" style="165" customWidth="1"/>
    <col min="15115" max="15115" width="11.88671875" style="165" customWidth="1"/>
    <col min="15116" max="15116" width="9.109375" style="165"/>
    <col min="15117" max="15117" width="6" style="165" customWidth="1"/>
    <col min="15118" max="15118" width="35.44140625" style="165" customWidth="1"/>
    <col min="15119" max="15119" width="14.88671875" style="165" customWidth="1"/>
    <col min="15120" max="15120" width="6" style="165" customWidth="1"/>
    <col min="15121" max="15121" width="7.5546875" style="165" customWidth="1"/>
    <col min="15122" max="15122" width="8.5546875" style="165" customWidth="1"/>
    <col min="15123" max="15123" width="12.44140625" style="165" customWidth="1"/>
    <col min="15124" max="15124" width="8.5546875" style="165" customWidth="1"/>
    <col min="15125" max="15125" width="8" style="165" customWidth="1"/>
    <col min="15126" max="15361" width="9.109375" style="165"/>
    <col min="15362" max="15362" width="11.109375" style="165" customWidth="1"/>
    <col min="15363" max="15363" width="42" style="165" customWidth="1"/>
    <col min="15364" max="15364" width="21.88671875" style="165" customWidth="1"/>
    <col min="15365" max="15365" width="27.5546875" style="165" customWidth="1"/>
    <col min="15366" max="15366" width="12.44140625" style="165" customWidth="1"/>
    <col min="15367" max="15367" width="11.5546875" style="165" customWidth="1"/>
    <col min="15368" max="15368" width="18.44140625" style="165" customWidth="1"/>
    <col min="15369" max="15369" width="9.44140625" style="165" customWidth="1"/>
    <col min="15370" max="15370" width="19" style="165" customWidth="1"/>
    <col min="15371" max="15371" width="11.88671875" style="165" customWidth="1"/>
    <col min="15372" max="15372" width="9.109375" style="165"/>
    <col min="15373" max="15373" width="6" style="165" customWidth="1"/>
    <col min="15374" max="15374" width="35.44140625" style="165" customWidth="1"/>
    <col min="15375" max="15375" width="14.88671875" style="165" customWidth="1"/>
    <col min="15376" max="15376" width="6" style="165" customWidth="1"/>
    <col min="15377" max="15377" width="7.5546875" style="165" customWidth="1"/>
    <col min="15378" max="15378" width="8.5546875" style="165" customWidth="1"/>
    <col min="15379" max="15379" width="12.44140625" style="165" customWidth="1"/>
    <col min="15380" max="15380" width="8.5546875" style="165" customWidth="1"/>
    <col min="15381" max="15381" width="8" style="165" customWidth="1"/>
    <col min="15382" max="15617" width="9.109375" style="165"/>
    <col min="15618" max="15618" width="11.109375" style="165" customWidth="1"/>
    <col min="15619" max="15619" width="42" style="165" customWidth="1"/>
    <col min="15620" max="15620" width="21.88671875" style="165" customWidth="1"/>
    <col min="15621" max="15621" width="27.5546875" style="165" customWidth="1"/>
    <col min="15622" max="15622" width="12.44140625" style="165" customWidth="1"/>
    <col min="15623" max="15623" width="11.5546875" style="165" customWidth="1"/>
    <col min="15624" max="15624" width="18.44140625" style="165" customWidth="1"/>
    <col min="15625" max="15625" width="9.44140625" style="165" customWidth="1"/>
    <col min="15626" max="15626" width="19" style="165" customWidth="1"/>
    <col min="15627" max="15627" width="11.88671875" style="165" customWidth="1"/>
    <col min="15628" max="15628" width="9.109375" style="165"/>
    <col min="15629" max="15629" width="6" style="165" customWidth="1"/>
    <col min="15630" max="15630" width="35.44140625" style="165" customWidth="1"/>
    <col min="15631" max="15631" width="14.88671875" style="165" customWidth="1"/>
    <col min="15632" max="15632" width="6" style="165" customWidth="1"/>
    <col min="15633" max="15633" width="7.5546875" style="165" customWidth="1"/>
    <col min="15634" max="15634" width="8.5546875" style="165" customWidth="1"/>
    <col min="15635" max="15635" width="12.44140625" style="165" customWidth="1"/>
    <col min="15636" max="15636" width="8.5546875" style="165" customWidth="1"/>
    <col min="15637" max="15637" width="8" style="165" customWidth="1"/>
    <col min="15638" max="15873" width="9.109375" style="165"/>
    <col min="15874" max="15874" width="11.109375" style="165" customWidth="1"/>
    <col min="15875" max="15875" width="42" style="165" customWidth="1"/>
    <col min="15876" max="15876" width="21.88671875" style="165" customWidth="1"/>
    <col min="15877" max="15877" width="27.5546875" style="165" customWidth="1"/>
    <col min="15878" max="15878" width="12.44140625" style="165" customWidth="1"/>
    <col min="15879" max="15879" width="11.5546875" style="165" customWidth="1"/>
    <col min="15880" max="15880" width="18.44140625" style="165" customWidth="1"/>
    <col min="15881" max="15881" width="9.44140625" style="165" customWidth="1"/>
    <col min="15882" max="15882" width="19" style="165" customWidth="1"/>
    <col min="15883" max="15883" width="11.88671875" style="165" customWidth="1"/>
    <col min="15884" max="15884" width="9.109375" style="165"/>
    <col min="15885" max="15885" width="6" style="165" customWidth="1"/>
    <col min="15886" max="15886" width="35.44140625" style="165" customWidth="1"/>
    <col min="15887" max="15887" width="14.88671875" style="165" customWidth="1"/>
    <col min="15888" max="15888" width="6" style="165" customWidth="1"/>
    <col min="15889" max="15889" width="7.5546875" style="165" customWidth="1"/>
    <col min="15890" max="15890" width="8.5546875" style="165" customWidth="1"/>
    <col min="15891" max="15891" width="12.44140625" style="165" customWidth="1"/>
    <col min="15892" max="15892" width="8.5546875" style="165" customWidth="1"/>
    <col min="15893" max="15893" width="8" style="165" customWidth="1"/>
    <col min="15894" max="16129" width="9.109375" style="165"/>
    <col min="16130" max="16130" width="11.109375" style="165" customWidth="1"/>
    <col min="16131" max="16131" width="42" style="165" customWidth="1"/>
    <col min="16132" max="16132" width="21.88671875" style="165" customWidth="1"/>
    <col min="16133" max="16133" width="27.5546875" style="165" customWidth="1"/>
    <col min="16134" max="16134" width="12.44140625" style="165" customWidth="1"/>
    <col min="16135" max="16135" width="11.5546875" style="165" customWidth="1"/>
    <col min="16136" max="16136" width="18.44140625" style="165" customWidth="1"/>
    <col min="16137" max="16137" width="9.44140625" style="165" customWidth="1"/>
    <col min="16138" max="16138" width="19" style="165" customWidth="1"/>
    <col min="16139" max="16139" width="11.88671875" style="165" customWidth="1"/>
    <col min="16140" max="16140" width="9.109375" style="165"/>
    <col min="16141" max="16141" width="6" style="165" customWidth="1"/>
    <col min="16142" max="16142" width="35.44140625" style="165" customWidth="1"/>
    <col min="16143" max="16143" width="14.88671875" style="165" customWidth="1"/>
    <col min="16144" max="16144" width="6" style="165" customWidth="1"/>
    <col min="16145" max="16145" width="7.5546875" style="165" customWidth="1"/>
    <col min="16146" max="16146" width="8.5546875" style="165" customWidth="1"/>
    <col min="16147" max="16147" width="12.44140625" style="165" customWidth="1"/>
    <col min="16148" max="16148" width="8.5546875" style="165" customWidth="1"/>
    <col min="16149" max="16149" width="8" style="165" customWidth="1"/>
    <col min="16150" max="16384" width="9.109375" style="165"/>
  </cols>
  <sheetData>
    <row r="1" spans="1:11">
      <c r="B1" s="219" t="s">
        <v>281</v>
      </c>
    </row>
    <row r="2" spans="1:11">
      <c r="B2" s="168"/>
    </row>
    <row r="3" spans="1:11">
      <c r="B3" s="168" t="s">
        <v>21</v>
      </c>
    </row>
    <row r="4" spans="1:11" ht="40.65" customHeight="1">
      <c r="B4" s="169" t="s">
        <v>22</v>
      </c>
    </row>
    <row r="5" spans="1:11" ht="51" customHeight="1">
      <c r="B5" s="168" t="s">
        <v>23</v>
      </c>
      <c r="C5" s="243"/>
      <c r="D5" s="243"/>
      <c r="E5" s="243"/>
      <c r="F5" s="243"/>
      <c r="G5" s="243"/>
      <c r="H5" s="243"/>
      <c r="I5" s="243"/>
    </row>
    <row r="6" spans="1:11">
      <c r="B6" s="168" t="s">
        <v>24</v>
      </c>
    </row>
    <row r="7" spans="1:11">
      <c r="B7" s="168" t="s">
        <v>25</v>
      </c>
    </row>
    <row r="8" spans="1:11">
      <c r="B8" s="168" t="s">
        <v>26</v>
      </c>
    </row>
    <row r="9" spans="1:11">
      <c r="B9" s="219" t="s">
        <v>287</v>
      </c>
      <c r="C9" s="170"/>
      <c r="D9" s="170"/>
      <c r="E9" s="170"/>
      <c r="F9" s="170"/>
    </row>
    <row r="10" spans="1:11">
      <c r="B10" s="219" t="s">
        <v>287</v>
      </c>
      <c r="C10" s="170"/>
      <c r="D10" s="170"/>
      <c r="E10" s="170"/>
      <c r="F10" s="170"/>
    </row>
    <row r="11" spans="1:11">
      <c r="B11" s="168"/>
      <c r="C11" s="170"/>
      <c r="D11" s="170"/>
      <c r="E11" s="170"/>
      <c r="F11" s="170"/>
    </row>
    <row r="12" spans="1:11">
      <c r="A12" s="171"/>
      <c r="B12" s="172"/>
      <c r="C12" s="244" t="s">
        <v>27</v>
      </c>
      <c r="D12" s="245"/>
      <c r="E12" s="245"/>
      <c r="F12" s="246"/>
      <c r="G12" s="244" t="s">
        <v>28</v>
      </c>
      <c r="H12" s="247"/>
      <c r="I12" s="245"/>
      <c r="J12" s="248"/>
      <c r="K12" s="249" t="s">
        <v>29</v>
      </c>
    </row>
    <row r="13" spans="1:11" ht="45.6" customHeight="1">
      <c r="A13" s="173" t="s">
        <v>30</v>
      </c>
      <c r="B13" s="174" t="s">
        <v>31</v>
      </c>
      <c r="C13" s="175" t="s">
        <v>32</v>
      </c>
      <c r="D13" s="175" t="s">
        <v>33</v>
      </c>
      <c r="E13" s="175" t="s">
        <v>34</v>
      </c>
      <c r="F13" s="175" t="s">
        <v>35</v>
      </c>
      <c r="G13" s="175" t="s">
        <v>36</v>
      </c>
      <c r="H13" s="175" t="s">
        <v>34</v>
      </c>
      <c r="I13" s="175" t="s">
        <v>35</v>
      </c>
      <c r="J13" s="188" t="s">
        <v>37</v>
      </c>
      <c r="K13" s="250"/>
    </row>
    <row r="14" spans="1:11">
      <c r="A14" s="176">
        <v>1</v>
      </c>
      <c r="B14" s="177"/>
      <c r="C14" s="178"/>
      <c r="D14" s="179"/>
      <c r="E14" s="179"/>
      <c r="F14" s="180"/>
      <c r="G14" s="178"/>
      <c r="H14" s="178"/>
      <c r="I14" s="180"/>
      <c r="J14" s="179"/>
      <c r="K14" s="189"/>
    </row>
    <row r="15" spans="1:11">
      <c r="A15" s="176">
        <v>2</v>
      </c>
      <c r="B15" s="181"/>
      <c r="C15" s="178"/>
      <c r="D15" s="179"/>
      <c r="E15" s="180"/>
      <c r="F15" s="182"/>
      <c r="G15" s="183"/>
      <c r="H15" s="183"/>
      <c r="I15" s="180"/>
      <c r="J15" s="179"/>
      <c r="K15" s="189"/>
    </row>
    <row r="16" spans="1:11" ht="15.75" customHeight="1">
      <c r="A16" s="176">
        <v>3</v>
      </c>
      <c r="B16" s="209"/>
      <c r="C16" s="178"/>
      <c r="D16" s="179"/>
      <c r="E16" s="182"/>
      <c r="F16" s="182"/>
      <c r="G16" s="183"/>
      <c r="H16" s="183"/>
      <c r="I16" s="183"/>
      <c r="J16" s="179"/>
      <c r="K16" s="189"/>
    </row>
    <row r="17" spans="1:11" ht="15.75" customHeight="1">
      <c r="A17" s="176">
        <v>4</v>
      </c>
      <c r="B17" s="205"/>
      <c r="C17" s="178"/>
      <c r="D17" s="179"/>
      <c r="E17" s="182"/>
      <c r="F17" s="180"/>
      <c r="G17" s="183"/>
      <c r="H17" s="183"/>
      <c r="I17" s="183"/>
      <c r="J17" s="179"/>
      <c r="K17" s="189"/>
    </row>
    <row r="18" spans="1:11" ht="18.75" customHeight="1">
      <c r="A18" s="176">
        <v>5</v>
      </c>
      <c r="B18" s="184"/>
      <c r="C18" s="185"/>
      <c r="D18" s="185"/>
      <c r="E18" s="180"/>
      <c r="F18" s="182"/>
      <c r="G18" s="185"/>
      <c r="H18" s="186"/>
      <c r="I18" s="186"/>
      <c r="J18" s="186"/>
      <c r="K18" s="189"/>
    </row>
    <row r="19" spans="1:11" ht="18.75" customHeight="1">
      <c r="A19" s="176">
        <v>6</v>
      </c>
      <c r="B19" s="184"/>
      <c r="C19" s="185"/>
      <c r="D19" s="185"/>
      <c r="E19" s="180"/>
      <c r="F19" s="180"/>
      <c r="G19" s="185"/>
      <c r="H19" s="186"/>
      <c r="I19" s="186"/>
      <c r="J19" s="186"/>
      <c r="K19" s="189"/>
    </row>
    <row r="20" spans="1:11" ht="18">
      <c r="A20" s="176">
        <v>7</v>
      </c>
      <c r="B20" s="184"/>
      <c r="C20" s="185"/>
      <c r="D20" s="185"/>
      <c r="E20" s="180"/>
      <c r="F20" s="180"/>
      <c r="G20" s="185"/>
      <c r="H20" s="186"/>
      <c r="I20" s="186"/>
      <c r="J20" s="186"/>
      <c r="K20" s="189"/>
    </row>
    <row r="21" spans="1:11" ht="18">
      <c r="A21" s="176">
        <v>8</v>
      </c>
      <c r="B21" s="184"/>
      <c r="C21" s="187"/>
      <c r="D21" s="180"/>
      <c r="E21" s="180"/>
      <c r="F21" s="180"/>
      <c r="G21" s="186"/>
      <c r="H21" s="186"/>
      <c r="I21" s="186"/>
      <c r="J21" s="186"/>
      <c r="K21" s="189"/>
    </row>
  </sheetData>
  <mergeCells count="4">
    <mergeCell ref="C5:I5"/>
    <mergeCell ref="C12:F12"/>
    <mergeCell ref="G12:J12"/>
    <mergeCell ref="K12:K13"/>
  </mergeCells>
  <printOptions gridLines="1"/>
  <pageMargins left="0.70866141732283505" right="0.70866141732283505" top="0.74803149606299202" bottom="0.74803149606299202" header="0.31496062992126" footer="0.31496062992126"/>
  <pageSetup paperSize="9" scale="44" fitToHeight="0" orientation="portrait" horizontalDpi="300" verticalDpi="300" r:id="rId1"/>
  <headerFooter>
    <oddFooter>&amp;C&amp;1#&amp;"Calibri"&amp;9&amp;K000000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W14"/>
  <sheetViews>
    <sheetView topLeftCell="A3" zoomScale="52" zoomScaleNormal="70" workbookViewId="0">
      <selection activeCell="AO11" sqref="AO11:AO12"/>
    </sheetView>
  </sheetViews>
  <sheetFormatPr defaultColWidth="8.5546875" defaultRowHeight="13.8"/>
  <cols>
    <col min="1" max="1" width="6" style="146" customWidth="1"/>
    <col min="2" max="2" width="8.109375" style="146" customWidth="1"/>
    <col min="3" max="3" width="22.88671875" style="146" customWidth="1"/>
    <col min="4" max="4" width="7.5546875" style="144" customWidth="1"/>
    <col min="5" max="5" width="29.5546875" customWidth="1"/>
    <col min="6" max="6" width="13.44140625" style="146" customWidth="1"/>
    <col min="7" max="7" width="23.109375" style="146" customWidth="1"/>
    <col min="8" max="8" width="13.44140625" style="146" customWidth="1"/>
    <col min="9" max="39" width="5.6640625" style="146" customWidth="1"/>
    <col min="40" max="40" width="7.33203125" style="146" bestFit="1" customWidth="1"/>
    <col min="41" max="41" width="17.77734375" style="146" customWidth="1"/>
    <col min="42" max="42" width="8.77734375" style="146" customWidth="1"/>
    <col min="43" max="43" width="12.5546875" style="146" customWidth="1"/>
    <col min="44" max="46" width="7.44140625" style="146" customWidth="1"/>
    <col min="47" max="47" width="11.44140625" style="146" customWidth="1"/>
    <col min="48" max="48" width="15.77734375" style="146" customWidth="1"/>
    <col min="49" max="49" width="19.5546875" style="146" customWidth="1"/>
    <col min="50" max="16384" width="8.5546875" style="146"/>
  </cols>
  <sheetData>
    <row r="1" spans="1:49" ht="41.4" customHeight="1">
      <c r="A1" s="251" t="s">
        <v>38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</row>
    <row r="2" spans="1:49" ht="54.75" customHeight="1">
      <c r="A2" s="252" t="s">
        <v>39</v>
      </c>
      <c r="B2" s="252"/>
      <c r="C2" s="252"/>
      <c r="D2" s="253" t="s">
        <v>40</v>
      </c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2" t="s">
        <v>4</v>
      </c>
      <c r="R2" s="252"/>
      <c r="S2" s="252"/>
      <c r="T2" s="252"/>
      <c r="U2" s="252"/>
      <c r="V2" s="252"/>
      <c r="W2" s="252"/>
      <c r="X2" s="252"/>
      <c r="Y2" s="254" t="s">
        <v>299</v>
      </c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157"/>
      <c r="AQ2" s="159"/>
      <c r="AR2" s="159"/>
      <c r="AS2" s="159"/>
      <c r="AT2" s="159"/>
      <c r="AU2" s="160" t="s">
        <v>1</v>
      </c>
      <c r="AV2" s="256" t="s">
        <v>291</v>
      </c>
      <c r="AW2" s="257"/>
    </row>
    <row r="3" spans="1:49" ht="62.25" customHeight="1">
      <c r="A3" s="252" t="s">
        <v>41</v>
      </c>
      <c r="B3" s="252"/>
      <c r="C3" s="252"/>
      <c r="D3" s="253" t="s">
        <v>40</v>
      </c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8" t="s">
        <v>5</v>
      </c>
      <c r="R3" s="258"/>
      <c r="S3" s="258"/>
      <c r="T3" s="258"/>
      <c r="U3" s="258"/>
      <c r="V3" s="258"/>
      <c r="W3" s="258"/>
      <c r="X3" s="258"/>
      <c r="Y3" s="254" t="s">
        <v>42</v>
      </c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157"/>
      <c r="AQ3" s="159"/>
      <c r="AR3" s="159"/>
      <c r="AS3" s="159"/>
      <c r="AT3" s="159"/>
      <c r="AU3" s="160" t="s">
        <v>43</v>
      </c>
      <c r="AV3" s="259">
        <v>2026</v>
      </c>
      <c r="AW3" s="257"/>
    </row>
    <row r="4" spans="1:49" ht="15" customHeight="1">
      <c r="A4" s="260" t="s">
        <v>7</v>
      </c>
      <c r="B4" s="260" t="s">
        <v>8</v>
      </c>
      <c r="C4" s="260" t="s">
        <v>44</v>
      </c>
      <c r="D4" s="260" t="s">
        <v>45</v>
      </c>
      <c r="E4" s="260" t="s">
        <v>46</v>
      </c>
      <c r="F4" s="260" t="s">
        <v>47</v>
      </c>
      <c r="G4" s="260" t="s">
        <v>48</v>
      </c>
      <c r="H4" s="260" t="s">
        <v>49</v>
      </c>
      <c r="I4" s="260" t="s">
        <v>11</v>
      </c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147"/>
      <c r="AO4" s="264" t="s">
        <v>13</v>
      </c>
      <c r="AP4" s="264" t="s">
        <v>50</v>
      </c>
      <c r="AQ4" s="264" t="s">
        <v>51</v>
      </c>
      <c r="AR4" s="264" t="s">
        <v>52</v>
      </c>
      <c r="AS4" s="264" t="s">
        <v>53</v>
      </c>
      <c r="AT4" s="264" t="s">
        <v>54</v>
      </c>
      <c r="AU4" s="264" t="s">
        <v>55</v>
      </c>
      <c r="AV4" s="264" t="s">
        <v>56</v>
      </c>
      <c r="AW4" s="264" t="s">
        <v>57</v>
      </c>
    </row>
    <row r="5" spans="1:49" ht="73.5" customHeight="1">
      <c r="A5" s="260"/>
      <c r="B5" s="260"/>
      <c r="C5" s="260"/>
      <c r="D5" s="260"/>
      <c r="E5" s="260"/>
      <c r="F5" s="260"/>
      <c r="G5" s="260"/>
      <c r="H5" s="260"/>
      <c r="I5" s="147">
        <v>1</v>
      </c>
      <c r="J5" s="147">
        <v>2</v>
      </c>
      <c r="K5" s="147">
        <v>3</v>
      </c>
      <c r="L5" s="147">
        <v>4</v>
      </c>
      <c r="M5" s="147">
        <v>5</v>
      </c>
      <c r="N5" s="147">
        <v>6</v>
      </c>
      <c r="O5" s="147">
        <v>7</v>
      </c>
      <c r="P5" s="147">
        <v>8</v>
      </c>
      <c r="Q5" s="147">
        <v>9</v>
      </c>
      <c r="R5" s="147">
        <v>10</v>
      </c>
      <c r="S5" s="147">
        <v>11</v>
      </c>
      <c r="T5" s="147">
        <v>12</v>
      </c>
      <c r="U5" s="147">
        <v>13</v>
      </c>
      <c r="V5" s="147">
        <v>14</v>
      </c>
      <c r="W5" s="147">
        <v>15</v>
      </c>
      <c r="X5" s="147">
        <v>16</v>
      </c>
      <c r="Y5" s="147">
        <v>17</v>
      </c>
      <c r="Z5" s="147">
        <v>18</v>
      </c>
      <c r="AA5" s="147">
        <v>19</v>
      </c>
      <c r="AB5" s="147">
        <v>20</v>
      </c>
      <c r="AC5" s="147">
        <v>21</v>
      </c>
      <c r="AD5" s="147">
        <v>22</v>
      </c>
      <c r="AE5" s="147">
        <v>23</v>
      </c>
      <c r="AF5" s="147">
        <v>24</v>
      </c>
      <c r="AG5" s="147">
        <v>25</v>
      </c>
      <c r="AH5" s="147">
        <v>26</v>
      </c>
      <c r="AI5" s="147">
        <v>27</v>
      </c>
      <c r="AJ5" s="147">
        <v>28</v>
      </c>
      <c r="AK5" s="147">
        <v>29</v>
      </c>
      <c r="AL5" s="147">
        <v>30</v>
      </c>
      <c r="AM5" s="147"/>
      <c r="AN5" s="147" t="s">
        <v>12</v>
      </c>
      <c r="AO5" s="265"/>
      <c r="AP5" s="265"/>
      <c r="AQ5" s="265"/>
      <c r="AR5" s="265"/>
      <c r="AS5" s="265"/>
      <c r="AT5" s="265"/>
      <c r="AU5" s="265"/>
      <c r="AV5" s="265"/>
      <c r="AW5" s="265"/>
    </row>
    <row r="6" spans="1:49" s="144" customFormat="1">
      <c r="A6" s="148">
        <v>-1</v>
      </c>
      <c r="B6" s="148">
        <v>-2</v>
      </c>
      <c r="C6" s="148">
        <v>-3</v>
      </c>
      <c r="D6" s="149">
        <v>-4</v>
      </c>
      <c r="E6" s="149">
        <v>-5</v>
      </c>
      <c r="F6" s="149">
        <v>-6</v>
      </c>
      <c r="G6" s="149">
        <v>-7</v>
      </c>
      <c r="H6" s="149">
        <v>-8</v>
      </c>
      <c r="I6" s="261">
        <v>-9</v>
      </c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3"/>
      <c r="AO6" s="148">
        <v>-10</v>
      </c>
      <c r="AP6" s="148">
        <v>-11</v>
      </c>
      <c r="AQ6" s="148">
        <v>-12</v>
      </c>
      <c r="AR6" s="148">
        <v>-13</v>
      </c>
      <c r="AS6" s="148">
        <v>-14</v>
      </c>
      <c r="AT6" s="148">
        <v>-15</v>
      </c>
      <c r="AU6" s="148">
        <v>-16</v>
      </c>
      <c r="AV6" s="148">
        <v>-17</v>
      </c>
      <c r="AW6" s="148">
        <v>-18</v>
      </c>
    </row>
    <row r="7" spans="1:49" s="145" customFormat="1" ht="93.6" customHeight="1">
      <c r="A7" s="150">
        <v>1</v>
      </c>
      <c r="B7" s="41"/>
      <c r="C7" s="38"/>
      <c r="D7" s="151"/>
      <c r="E7" s="152"/>
      <c r="F7" s="151"/>
      <c r="G7" s="9"/>
      <c r="H7" s="153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220"/>
      <c r="AF7" s="220"/>
      <c r="AG7" s="220"/>
      <c r="AH7" s="220"/>
      <c r="AI7" s="220"/>
      <c r="AJ7" s="220"/>
      <c r="AK7" s="220"/>
      <c r="AL7" s="220"/>
      <c r="AM7" s="220"/>
      <c r="AN7" s="156">
        <f t="shared" ref="AN7:AN12" si="0">SUM(I7:AM7)</f>
        <v>0</v>
      </c>
      <c r="AO7" s="158">
        <f>ROUND(AN7/8,2)</f>
        <v>0</v>
      </c>
      <c r="AP7" s="158">
        <v>0</v>
      </c>
      <c r="AQ7" s="161">
        <v>0</v>
      </c>
      <c r="AR7" s="158">
        <f t="shared" ref="AR7:AR12" si="1">COUNTIF(I7:AM7,"PL")+COUNTIF(I7:AM7,"CL")</f>
        <v>0</v>
      </c>
      <c r="AS7" s="161" cm="1">
        <f t="array" ref="AS7">SUMPRODUCT(--(TRIM(I7:AM7)="W/O"))</f>
        <v>0</v>
      </c>
      <c r="AT7" s="161">
        <f>+AO7+AP7+AR7+AS7</f>
        <v>0</v>
      </c>
      <c r="AU7" s="162"/>
      <c r="AV7" s="163" t="s">
        <v>61</v>
      </c>
      <c r="AW7" s="164"/>
    </row>
    <row r="8" spans="1:49" s="145" customFormat="1" ht="89.25" customHeight="1">
      <c r="A8" s="154">
        <v>2</v>
      </c>
      <c r="B8" s="41"/>
      <c r="C8" s="38"/>
      <c r="D8" s="151"/>
      <c r="E8" s="155"/>
      <c r="F8" s="151"/>
      <c r="G8" s="9"/>
      <c r="H8" s="153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156">
        <f t="shared" si="0"/>
        <v>0</v>
      </c>
      <c r="AO8" s="158">
        <f t="shared" ref="AO8:AO12" si="2">ROUND(AN8/8,2)</f>
        <v>0</v>
      </c>
      <c r="AP8" s="158">
        <v>0</v>
      </c>
      <c r="AQ8" s="161">
        <v>0</v>
      </c>
      <c r="AR8" s="158">
        <f t="shared" si="1"/>
        <v>0</v>
      </c>
      <c r="AS8" s="161" cm="1">
        <f t="array" ref="AS8">SUMPRODUCT(--(TRIM(I8:AM8)="W/O"))</f>
        <v>0</v>
      </c>
      <c r="AT8" s="161">
        <f>+AO8+AP8+AR8+AS8</f>
        <v>0</v>
      </c>
      <c r="AU8" s="162"/>
      <c r="AV8" s="163" t="s">
        <v>61</v>
      </c>
      <c r="AW8" s="164"/>
    </row>
    <row r="9" spans="1:49" s="145" customFormat="1" ht="89.25" customHeight="1">
      <c r="A9" s="154">
        <v>3</v>
      </c>
      <c r="B9" s="202"/>
      <c r="C9" s="207"/>
      <c r="D9" s="202"/>
      <c r="E9" s="210"/>
      <c r="F9" s="151"/>
      <c r="G9" s="212"/>
      <c r="H9" s="200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156">
        <f t="shared" si="0"/>
        <v>0</v>
      </c>
      <c r="AO9" s="158">
        <f t="shared" si="2"/>
        <v>0</v>
      </c>
      <c r="AP9" s="158">
        <v>0</v>
      </c>
      <c r="AQ9" s="161">
        <v>0</v>
      </c>
      <c r="AR9" s="158">
        <f t="shared" si="1"/>
        <v>0</v>
      </c>
      <c r="AS9" s="161" cm="1">
        <f t="array" ref="AS9">SUMPRODUCT(--(TRIM(I9:AM9)="W/O"))</f>
        <v>0</v>
      </c>
      <c r="AT9" s="161">
        <f>+AO9+AP9+AR9+AS9</f>
        <v>0</v>
      </c>
      <c r="AU9" s="162"/>
      <c r="AV9" s="163"/>
      <c r="AW9" s="164"/>
    </row>
    <row r="10" spans="1:49" s="145" customFormat="1" ht="89.25" customHeight="1">
      <c r="A10" s="154">
        <v>4</v>
      </c>
      <c r="B10" s="202"/>
      <c r="C10" s="38"/>
      <c r="D10" s="226"/>
      <c r="E10" s="210"/>
      <c r="F10" s="151"/>
      <c r="G10" s="9"/>
      <c r="H10" s="153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>
        <f t="shared" si="0"/>
        <v>0</v>
      </c>
      <c r="AO10" s="158">
        <f t="shared" si="2"/>
        <v>0</v>
      </c>
      <c r="AP10" s="158">
        <v>1</v>
      </c>
      <c r="AQ10" s="161">
        <v>1</v>
      </c>
      <c r="AR10" s="158">
        <f t="shared" si="1"/>
        <v>0</v>
      </c>
      <c r="AS10" s="161" cm="1">
        <f t="array" ref="AS10">SUMPRODUCT(--(TRIM(I10:AM10)="W/O"))</f>
        <v>0</v>
      </c>
      <c r="AT10" s="161">
        <v>6</v>
      </c>
      <c r="AU10" s="162"/>
      <c r="AV10" s="163" t="s">
        <v>61</v>
      </c>
      <c r="AW10" s="164"/>
    </row>
    <row r="11" spans="1:49" s="145" customFormat="1" ht="89.25" customHeight="1">
      <c r="A11" s="154">
        <v>5</v>
      </c>
      <c r="B11" s="202"/>
      <c r="C11" s="207"/>
      <c r="D11" s="211"/>
      <c r="E11" s="210"/>
      <c r="F11" s="151"/>
      <c r="G11" s="212"/>
      <c r="H11" s="153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156"/>
      <c r="AJ11" s="156"/>
      <c r="AK11" s="156"/>
      <c r="AL11" s="156"/>
      <c r="AM11" s="156"/>
      <c r="AN11" s="156">
        <f t="shared" si="0"/>
        <v>0</v>
      </c>
      <c r="AO11" s="158">
        <f t="shared" si="2"/>
        <v>0</v>
      </c>
      <c r="AP11" s="158">
        <v>0</v>
      </c>
      <c r="AQ11" s="161">
        <v>0</v>
      </c>
      <c r="AR11" s="158">
        <f t="shared" si="1"/>
        <v>0</v>
      </c>
      <c r="AS11" s="161" cm="1">
        <f t="array" ref="AS11">SUMPRODUCT(--(TRIM(I11:AM11)="W/O"))</f>
        <v>0</v>
      </c>
      <c r="AT11" s="161">
        <f>+AO11+AP11+AR11+AS11</f>
        <v>0</v>
      </c>
      <c r="AU11" s="162"/>
      <c r="AV11" s="163"/>
      <c r="AW11" s="164"/>
    </row>
    <row r="12" spans="1:49" s="145" customFormat="1" ht="89.25" customHeight="1">
      <c r="A12" s="154">
        <v>6</v>
      </c>
      <c r="B12" s="202"/>
      <c r="C12" s="207"/>
      <c r="D12" s="202"/>
      <c r="E12" s="210"/>
      <c r="F12" s="151"/>
      <c r="G12" s="212"/>
      <c r="H12" s="20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156">
        <f t="shared" si="0"/>
        <v>0</v>
      </c>
      <c r="AO12" s="158">
        <f t="shared" si="2"/>
        <v>0</v>
      </c>
      <c r="AP12" s="158">
        <v>0</v>
      </c>
      <c r="AQ12" s="161">
        <v>0</v>
      </c>
      <c r="AR12" s="158">
        <f t="shared" si="1"/>
        <v>0</v>
      </c>
      <c r="AS12" s="161" cm="1">
        <f t="array" ref="AS12">SUMPRODUCT(--(TRIM(I12:AM12)="W/O"))</f>
        <v>0</v>
      </c>
      <c r="AT12" s="161">
        <f>+AO12+AP12+AR12+AS12</f>
        <v>0</v>
      </c>
      <c r="AU12" s="162"/>
      <c r="AV12" s="163"/>
      <c r="AW12" s="164"/>
    </row>
    <row r="13" spans="1:49" ht="31.5" customHeight="1">
      <c r="C13" s="208"/>
      <c r="G13" s="408" t="s">
        <v>64</v>
      </c>
      <c r="H13" s="409"/>
      <c r="I13" s="147">
        <f>SUM(I9:I11)</f>
        <v>0</v>
      </c>
      <c r="J13" s="147">
        <f>SUM(J9:J12)</f>
        <v>0</v>
      </c>
      <c r="K13" s="147">
        <f t="shared" ref="K13:Y13" si="3">SUM(K9:K11)</f>
        <v>0</v>
      </c>
      <c r="L13" s="147">
        <f t="shared" si="3"/>
        <v>0</v>
      </c>
      <c r="M13" s="147">
        <f t="shared" si="3"/>
        <v>0</v>
      </c>
      <c r="N13" s="147">
        <f t="shared" si="3"/>
        <v>0</v>
      </c>
      <c r="O13" s="147">
        <f t="shared" si="3"/>
        <v>0</v>
      </c>
      <c r="P13" s="147">
        <f t="shared" si="3"/>
        <v>0</v>
      </c>
      <c r="Q13" s="147">
        <f t="shared" si="3"/>
        <v>0</v>
      </c>
      <c r="R13" s="147">
        <f t="shared" si="3"/>
        <v>0</v>
      </c>
      <c r="S13" s="147">
        <f t="shared" si="3"/>
        <v>0</v>
      </c>
      <c r="T13" s="147">
        <f t="shared" si="3"/>
        <v>0</v>
      </c>
      <c r="U13" s="147">
        <f t="shared" si="3"/>
        <v>0</v>
      </c>
      <c r="V13" s="147">
        <f t="shared" si="3"/>
        <v>0</v>
      </c>
      <c r="W13" s="147">
        <f t="shared" si="3"/>
        <v>0</v>
      </c>
      <c r="X13" s="147">
        <f t="shared" si="3"/>
        <v>0</v>
      </c>
      <c r="Y13" s="147">
        <f t="shared" si="3"/>
        <v>0</v>
      </c>
      <c r="Z13" s="147">
        <f>SUM(Z9:Z12)</f>
        <v>0</v>
      </c>
      <c r="AA13" s="147">
        <f>SUM(AA9:AA11)</f>
        <v>0</v>
      </c>
      <c r="AB13" s="147">
        <f>SUM(AB9:AB11)</f>
        <v>0</v>
      </c>
      <c r="AC13" s="147">
        <f>SUM(AC9:AC12)</f>
        <v>0</v>
      </c>
      <c r="AD13" s="147">
        <f>SUM(AD9:AD11)</f>
        <v>0</v>
      </c>
      <c r="AE13" s="147">
        <f>SUM(AE9:AE11)</f>
        <v>0</v>
      </c>
      <c r="AF13" s="147">
        <f>SUM(AF9:AF12)</f>
        <v>0</v>
      </c>
      <c r="AG13" s="147">
        <f>SUM(AG9:AG11)</f>
        <v>0</v>
      </c>
      <c r="AH13" s="147">
        <f>SUM(AH9:AH11)</f>
        <v>0</v>
      </c>
      <c r="AI13" s="147">
        <f>SUM(AI9:AI11)</f>
        <v>0</v>
      </c>
      <c r="AJ13" s="147">
        <f>SUM(AJ9:AJ12)</f>
        <v>0</v>
      </c>
      <c r="AK13" s="147">
        <f>SUM(AK9:AK12)</f>
        <v>0</v>
      </c>
      <c r="AL13" s="147"/>
      <c r="AM13" s="147">
        <f>SUM(AM9:AM12)</f>
        <v>0</v>
      </c>
      <c r="AN13" s="147">
        <f t="shared" ref="AN13:AT13" si="4">SUM(AN9:AN11)</f>
        <v>0</v>
      </c>
      <c r="AO13" s="147">
        <f t="shared" si="4"/>
        <v>0</v>
      </c>
      <c r="AP13" s="147">
        <f t="shared" si="4"/>
        <v>1</v>
      </c>
      <c r="AQ13" s="147">
        <f t="shared" si="4"/>
        <v>1</v>
      </c>
      <c r="AR13" s="147">
        <f t="shared" si="4"/>
        <v>0</v>
      </c>
      <c r="AS13" s="147">
        <f t="shared" si="4"/>
        <v>0</v>
      </c>
      <c r="AT13" s="147">
        <f t="shared" si="4"/>
        <v>6</v>
      </c>
      <c r="AU13" s="199"/>
      <c r="AV13" s="199"/>
      <c r="AW13" s="199"/>
    </row>
    <row r="14" spans="1:49" ht="18.899999999999999" customHeight="1">
      <c r="G14" s="408" t="s">
        <v>65</v>
      </c>
      <c r="H14" s="409"/>
      <c r="I14" s="147">
        <f>I13/8</f>
        <v>0</v>
      </c>
      <c r="J14" s="147">
        <f t="shared" ref="J14:AI14" si="5">J13/8</f>
        <v>0</v>
      </c>
      <c r="K14" s="147">
        <f t="shared" si="5"/>
        <v>0</v>
      </c>
      <c r="L14" s="147">
        <f t="shared" si="5"/>
        <v>0</v>
      </c>
      <c r="M14" s="147">
        <f t="shared" si="5"/>
        <v>0</v>
      </c>
      <c r="N14" s="147">
        <f t="shared" si="5"/>
        <v>0</v>
      </c>
      <c r="O14" s="147">
        <f t="shared" si="5"/>
        <v>0</v>
      </c>
      <c r="P14" s="147">
        <f t="shared" si="5"/>
        <v>0</v>
      </c>
      <c r="Q14" s="147">
        <f t="shared" si="5"/>
        <v>0</v>
      </c>
      <c r="R14" s="147">
        <f t="shared" si="5"/>
        <v>0</v>
      </c>
      <c r="S14" s="147">
        <f t="shared" si="5"/>
        <v>0</v>
      </c>
      <c r="T14" s="147">
        <f t="shared" si="5"/>
        <v>0</v>
      </c>
      <c r="U14" s="147">
        <f t="shared" si="5"/>
        <v>0</v>
      </c>
      <c r="V14" s="147">
        <f t="shared" si="5"/>
        <v>0</v>
      </c>
      <c r="W14" s="147">
        <f t="shared" si="5"/>
        <v>0</v>
      </c>
      <c r="X14" s="147">
        <f t="shared" si="5"/>
        <v>0</v>
      </c>
      <c r="Y14" s="147">
        <f t="shared" si="5"/>
        <v>0</v>
      </c>
      <c r="Z14" s="147">
        <f t="shared" si="5"/>
        <v>0</v>
      </c>
      <c r="AA14" s="147">
        <f t="shared" si="5"/>
        <v>0</v>
      </c>
      <c r="AB14" s="147">
        <f t="shared" si="5"/>
        <v>0</v>
      </c>
      <c r="AC14" s="147">
        <f t="shared" si="5"/>
        <v>0</v>
      </c>
      <c r="AD14" s="147">
        <f t="shared" si="5"/>
        <v>0</v>
      </c>
      <c r="AE14" s="147">
        <f t="shared" si="5"/>
        <v>0</v>
      </c>
      <c r="AF14" s="147">
        <f t="shared" si="5"/>
        <v>0</v>
      </c>
      <c r="AG14" s="147">
        <f t="shared" si="5"/>
        <v>0</v>
      </c>
      <c r="AH14" s="147">
        <f t="shared" si="5"/>
        <v>0</v>
      </c>
      <c r="AI14" s="147">
        <f t="shared" si="5"/>
        <v>0</v>
      </c>
      <c r="AJ14" s="147">
        <f>AJ13/8</f>
        <v>0</v>
      </c>
      <c r="AK14" s="147">
        <f>AK13/8</f>
        <v>0</v>
      </c>
      <c r="AL14" s="147"/>
      <c r="AM14" s="147">
        <f t="shared" ref="AM14" si="6">AM13/8</f>
        <v>0</v>
      </c>
    </row>
  </sheetData>
  <mergeCells count="32">
    <mergeCell ref="G14:H14"/>
    <mergeCell ref="G13:H13"/>
    <mergeCell ref="AT4:AT5"/>
    <mergeCell ref="AU4:AU5"/>
    <mergeCell ref="AV4:AV5"/>
    <mergeCell ref="AW4:AW5"/>
    <mergeCell ref="AO4:AO5"/>
    <mergeCell ref="AP4:AP5"/>
    <mergeCell ref="AQ4:AQ5"/>
    <mergeCell ref="AR4:AR5"/>
    <mergeCell ref="AS4:AS5"/>
    <mergeCell ref="I4:AM4"/>
    <mergeCell ref="I6:AN6"/>
    <mergeCell ref="A4:A5"/>
    <mergeCell ref="B4:B5"/>
    <mergeCell ref="C4:C5"/>
    <mergeCell ref="D4:D5"/>
    <mergeCell ref="E4:E5"/>
    <mergeCell ref="F4:F5"/>
    <mergeCell ref="G4:G5"/>
    <mergeCell ref="H4:H5"/>
    <mergeCell ref="A3:C3"/>
    <mergeCell ref="D3:P3"/>
    <mergeCell ref="Q3:X3"/>
    <mergeCell ref="Y3:AO3"/>
    <mergeCell ref="AV3:AW3"/>
    <mergeCell ref="A1:AW1"/>
    <mergeCell ref="A2:C2"/>
    <mergeCell ref="D2:P2"/>
    <mergeCell ref="Q2:X2"/>
    <mergeCell ref="Y2:AO2"/>
    <mergeCell ref="AV2:AW2"/>
  </mergeCells>
  <conditionalFormatting sqref="J6:AN6">
    <cfRule type="containsText" dxfId="0" priority="1" stopIfTrue="1" operator="containsText" text="SUN">
      <formula>NOT(ISERROR(SEARCH("SUN",J6)))</formula>
    </cfRule>
  </conditionalFormatting>
  <dataValidations count="1">
    <dataValidation type="list" allowBlank="1" showInputMessage="1" showErrorMessage="1" sqref="IZ65531:IZ65560 IZ131067:IZ131096 IZ196603:IZ196632 IZ262139:IZ262168 IZ327675:IZ327704 IZ393211:IZ393240 IZ458747:IZ458776 IZ524283:IZ524312 IZ589819:IZ589848 IZ655355:IZ655384 IZ720891:IZ720920 IZ786427:IZ786456 IZ851963:IZ851992 IZ917499:IZ917528 IZ983035:IZ983064 SV65531:SV65560 SV131067:SV131096 SV196603:SV196632 SV262139:SV262168 SV327675:SV327704 SV393211:SV393240 SV458747:SV458776 SV524283:SV524312 SV589819:SV589848 SV655355:SV655384 SV720891:SV720920 SV786427:SV786456 SV851963:SV851992 SV917499:SV917528 SV983035:SV983064 ACR65531:ACR65560 ACR131067:ACR131096 ACR196603:ACR196632 ACR262139:ACR262168 ACR327675:ACR327704 ACR393211:ACR393240 ACR458747:ACR458776 ACR524283:ACR524312 ACR589819:ACR589848 ACR655355:ACR655384 ACR720891:ACR720920 ACR786427:ACR786456 ACR851963:ACR851992 ACR917499:ACR917528 ACR983035:ACR983064 AMN65531:AMN65560 AMN131067:AMN131096 AMN196603:AMN196632 AMN262139:AMN262168 AMN327675:AMN327704 AMN393211:AMN393240 AMN458747:AMN458776 AMN524283:AMN524312 AMN589819:AMN589848 AMN655355:AMN655384 AMN720891:AMN720920 AMN786427:AMN786456 AMN851963:AMN851992 AMN917499:AMN917528 AMN983035:AMN983064 AWJ65531:AWJ65560 AWJ131067:AWJ131096 AWJ196603:AWJ196632 AWJ262139:AWJ262168 AWJ327675:AWJ327704 AWJ393211:AWJ393240 AWJ458747:AWJ458776 AWJ524283:AWJ524312 AWJ589819:AWJ589848 AWJ655355:AWJ655384 AWJ720891:AWJ720920 AWJ786427:AWJ786456 AWJ851963:AWJ851992 AWJ917499:AWJ917528 AWJ983035:AWJ983064 BGF65531:BGF65560 BGF131067:BGF131096 BGF196603:BGF196632 BGF262139:BGF262168 BGF327675:BGF327704 BGF393211:BGF393240 BGF458747:BGF458776 BGF524283:BGF524312 BGF589819:BGF589848 BGF655355:BGF655384 BGF720891:BGF720920 BGF786427:BGF786456 BGF851963:BGF851992 BGF917499:BGF917528 BGF983035:BGF983064 BQB65531:BQB65560 BQB131067:BQB131096 BQB196603:BQB196632 BQB262139:BQB262168 BQB327675:BQB327704 BQB393211:BQB393240 BQB458747:BQB458776 BQB524283:BQB524312 BQB589819:BQB589848 BQB655355:BQB655384 BQB720891:BQB720920 BQB786427:BQB786456 BQB851963:BQB851992 BQB917499:BQB917528 BQB983035:BQB983064 BZX65531:BZX65560 BZX131067:BZX131096 BZX196603:BZX196632 BZX262139:BZX262168 BZX327675:BZX327704 BZX393211:BZX393240 BZX458747:BZX458776 BZX524283:BZX524312 BZX589819:BZX589848 BZX655355:BZX655384 BZX720891:BZX720920 BZX786427:BZX786456 BZX851963:BZX851992 BZX917499:BZX917528 BZX983035:BZX983064 CJT65531:CJT65560 CJT131067:CJT131096 CJT196603:CJT196632 CJT262139:CJT262168 CJT327675:CJT327704 CJT393211:CJT393240 CJT458747:CJT458776 CJT524283:CJT524312 CJT589819:CJT589848 CJT655355:CJT655384 CJT720891:CJT720920 CJT786427:CJT786456 CJT851963:CJT851992 CJT917499:CJT917528 CJT983035:CJT983064 CTP65531:CTP65560 CTP131067:CTP131096 CTP196603:CTP196632 CTP262139:CTP262168 CTP327675:CTP327704 CTP393211:CTP393240 CTP458747:CTP458776 CTP524283:CTP524312 CTP589819:CTP589848 CTP655355:CTP655384 CTP720891:CTP720920 CTP786427:CTP786456 CTP851963:CTP851992 CTP917499:CTP917528 CTP983035:CTP983064 DDL65531:DDL65560 DDL131067:DDL131096 DDL196603:DDL196632 DDL262139:DDL262168 DDL327675:DDL327704 DDL393211:DDL393240 DDL458747:DDL458776 DDL524283:DDL524312 DDL589819:DDL589848 DDL655355:DDL655384 DDL720891:DDL720920 DDL786427:DDL786456 DDL851963:DDL851992 DDL917499:DDL917528 DDL983035:DDL983064 DNH65531:DNH65560 DNH131067:DNH131096 DNH196603:DNH196632 DNH262139:DNH262168 DNH327675:DNH327704 DNH393211:DNH393240 DNH458747:DNH458776 DNH524283:DNH524312 DNH589819:DNH589848 DNH655355:DNH655384 DNH720891:DNH720920 DNH786427:DNH786456 DNH851963:DNH851992 DNH917499:DNH917528 DNH983035:DNH983064 DXD65531:DXD65560 DXD131067:DXD131096 DXD196603:DXD196632 DXD262139:DXD262168 DXD327675:DXD327704 DXD393211:DXD393240 DXD458747:DXD458776 DXD524283:DXD524312 DXD589819:DXD589848 DXD655355:DXD655384 DXD720891:DXD720920 DXD786427:DXD786456 DXD851963:DXD851992 DXD917499:DXD917528 DXD983035:DXD983064 EGZ65531:EGZ65560 EGZ131067:EGZ131096 EGZ196603:EGZ196632 EGZ262139:EGZ262168 EGZ327675:EGZ327704 EGZ393211:EGZ393240 EGZ458747:EGZ458776 EGZ524283:EGZ524312 EGZ589819:EGZ589848 EGZ655355:EGZ655384 EGZ720891:EGZ720920 EGZ786427:EGZ786456 EGZ851963:EGZ851992 EGZ917499:EGZ917528 EGZ983035:EGZ983064 EQV65531:EQV65560 EQV131067:EQV131096 EQV196603:EQV196632 EQV262139:EQV262168 EQV327675:EQV327704 EQV393211:EQV393240 EQV458747:EQV458776 EQV524283:EQV524312 EQV589819:EQV589848 EQV655355:EQV655384 EQV720891:EQV720920 EQV786427:EQV786456 EQV851963:EQV851992 EQV917499:EQV917528 EQV983035:EQV983064 FAR65531:FAR65560 FAR131067:FAR131096 FAR196603:FAR196632 FAR262139:FAR262168 FAR327675:FAR327704 FAR393211:FAR393240 FAR458747:FAR458776 FAR524283:FAR524312 FAR589819:FAR589848 FAR655355:FAR655384 FAR720891:FAR720920 FAR786427:FAR786456 FAR851963:FAR851992 FAR917499:FAR917528 FAR983035:FAR983064 FKN65531:FKN65560 FKN131067:FKN131096 FKN196603:FKN196632 FKN262139:FKN262168 FKN327675:FKN327704 FKN393211:FKN393240 FKN458747:FKN458776 FKN524283:FKN524312 FKN589819:FKN589848 FKN655355:FKN655384 FKN720891:FKN720920 FKN786427:FKN786456 FKN851963:FKN851992 FKN917499:FKN917528 FKN983035:FKN983064 FUJ65531:FUJ65560 FUJ131067:FUJ131096 FUJ196603:FUJ196632 FUJ262139:FUJ262168 FUJ327675:FUJ327704 FUJ393211:FUJ393240 FUJ458747:FUJ458776 FUJ524283:FUJ524312 FUJ589819:FUJ589848 FUJ655355:FUJ655384 FUJ720891:FUJ720920 FUJ786427:FUJ786456 FUJ851963:FUJ851992 FUJ917499:FUJ917528 FUJ983035:FUJ983064 GEF65531:GEF65560 GEF131067:GEF131096 GEF196603:GEF196632 GEF262139:GEF262168 GEF327675:GEF327704 GEF393211:GEF393240 GEF458747:GEF458776 GEF524283:GEF524312 GEF589819:GEF589848 GEF655355:GEF655384 GEF720891:GEF720920 GEF786427:GEF786456 GEF851963:GEF851992 GEF917499:GEF917528 GEF983035:GEF983064 GOB65531:GOB65560 GOB131067:GOB131096 GOB196603:GOB196632 GOB262139:GOB262168 GOB327675:GOB327704 GOB393211:GOB393240 GOB458747:GOB458776 GOB524283:GOB524312 GOB589819:GOB589848 GOB655355:GOB655384 GOB720891:GOB720920 GOB786427:GOB786456 GOB851963:GOB851992 GOB917499:GOB917528 GOB983035:GOB983064 GXX65531:GXX65560 GXX131067:GXX131096 GXX196603:GXX196632 GXX262139:GXX262168 GXX327675:GXX327704 GXX393211:GXX393240 GXX458747:GXX458776 GXX524283:GXX524312 GXX589819:GXX589848 GXX655355:GXX655384 GXX720891:GXX720920 GXX786427:GXX786456 GXX851963:GXX851992 GXX917499:GXX917528 GXX983035:GXX983064 HHT65531:HHT65560 HHT131067:HHT131096 HHT196603:HHT196632 HHT262139:HHT262168 HHT327675:HHT327704 HHT393211:HHT393240 HHT458747:HHT458776 HHT524283:HHT524312 HHT589819:HHT589848 HHT655355:HHT655384 HHT720891:HHT720920 HHT786427:HHT786456 HHT851963:HHT851992 HHT917499:HHT917528 HHT983035:HHT983064 HRP65531:HRP65560 HRP131067:HRP131096 HRP196603:HRP196632 HRP262139:HRP262168 HRP327675:HRP327704 HRP393211:HRP393240 HRP458747:HRP458776 HRP524283:HRP524312 HRP589819:HRP589848 HRP655355:HRP655384 HRP720891:HRP720920 HRP786427:HRP786456 HRP851963:HRP851992 HRP917499:HRP917528 HRP983035:HRP983064 IBL65531:IBL65560 IBL131067:IBL131096 IBL196603:IBL196632 IBL262139:IBL262168 IBL327675:IBL327704 IBL393211:IBL393240 IBL458747:IBL458776 IBL524283:IBL524312 IBL589819:IBL589848 IBL655355:IBL655384 IBL720891:IBL720920 IBL786427:IBL786456 IBL851963:IBL851992 IBL917499:IBL917528 IBL983035:IBL983064 ILH65531:ILH65560 ILH131067:ILH131096 ILH196603:ILH196632 ILH262139:ILH262168 ILH327675:ILH327704 ILH393211:ILH393240 ILH458747:ILH458776 ILH524283:ILH524312 ILH589819:ILH589848 ILH655355:ILH655384 ILH720891:ILH720920 ILH786427:ILH786456 ILH851963:ILH851992 ILH917499:ILH917528 ILH983035:ILH983064 IVD65531:IVD65560 IVD131067:IVD131096 IVD196603:IVD196632 IVD262139:IVD262168 IVD327675:IVD327704 IVD393211:IVD393240 IVD458747:IVD458776 IVD524283:IVD524312 IVD589819:IVD589848 IVD655355:IVD655384 IVD720891:IVD720920 IVD786427:IVD786456 IVD851963:IVD851992 IVD917499:IVD917528 IVD983035:IVD983064 JEZ65531:JEZ65560 JEZ131067:JEZ131096 JEZ196603:JEZ196632 JEZ262139:JEZ262168 JEZ327675:JEZ327704 JEZ393211:JEZ393240 JEZ458747:JEZ458776 JEZ524283:JEZ524312 JEZ589819:JEZ589848 JEZ655355:JEZ655384 JEZ720891:JEZ720920 JEZ786427:JEZ786456 JEZ851963:JEZ851992 JEZ917499:JEZ917528 JEZ983035:JEZ983064 JOV65531:JOV65560 JOV131067:JOV131096 JOV196603:JOV196632 JOV262139:JOV262168 JOV327675:JOV327704 JOV393211:JOV393240 JOV458747:JOV458776 JOV524283:JOV524312 JOV589819:JOV589848 JOV655355:JOV655384 JOV720891:JOV720920 JOV786427:JOV786456 JOV851963:JOV851992 JOV917499:JOV917528 JOV983035:JOV983064 JYR65531:JYR65560 JYR131067:JYR131096 JYR196603:JYR196632 JYR262139:JYR262168 JYR327675:JYR327704 JYR393211:JYR393240 JYR458747:JYR458776 JYR524283:JYR524312 JYR589819:JYR589848 JYR655355:JYR655384 JYR720891:JYR720920 JYR786427:JYR786456 JYR851963:JYR851992 JYR917499:JYR917528 JYR983035:JYR983064 KIN65531:KIN65560 KIN131067:KIN131096 KIN196603:KIN196632 KIN262139:KIN262168 KIN327675:KIN327704 KIN393211:KIN393240 KIN458747:KIN458776 KIN524283:KIN524312 KIN589819:KIN589848 KIN655355:KIN655384 KIN720891:KIN720920 KIN786427:KIN786456 KIN851963:KIN851992 KIN917499:KIN917528 KIN983035:KIN983064 KSJ65531:KSJ65560 KSJ131067:KSJ131096 KSJ196603:KSJ196632 KSJ262139:KSJ262168 KSJ327675:KSJ327704 KSJ393211:KSJ393240 KSJ458747:KSJ458776 KSJ524283:KSJ524312 KSJ589819:KSJ589848 KSJ655355:KSJ655384 KSJ720891:KSJ720920 KSJ786427:KSJ786456 KSJ851963:KSJ851992 KSJ917499:KSJ917528 KSJ983035:KSJ983064 LCF65531:LCF65560 LCF131067:LCF131096 LCF196603:LCF196632 LCF262139:LCF262168 LCF327675:LCF327704 LCF393211:LCF393240 LCF458747:LCF458776 LCF524283:LCF524312 LCF589819:LCF589848 LCF655355:LCF655384 LCF720891:LCF720920 LCF786427:LCF786456 LCF851963:LCF851992 LCF917499:LCF917528 LCF983035:LCF983064 LMB65531:LMB65560 LMB131067:LMB131096 LMB196603:LMB196632 LMB262139:LMB262168 LMB327675:LMB327704 LMB393211:LMB393240 LMB458747:LMB458776 LMB524283:LMB524312 LMB589819:LMB589848 LMB655355:LMB655384 LMB720891:LMB720920 LMB786427:LMB786456 LMB851963:LMB851992 LMB917499:LMB917528 LMB983035:LMB983064 LVX65531:LVX65560 LVX131067:LVX131096 LVX196603:LVX196632 LVX262139:LVX262168 LVX327675:LVX327704 LVX393211:LVX393240 LVX458747:LVX458776 LVX524283:LVX524312 LVX589819:LVX589848 LVX655355:LVX655384 LVX720891:LVX720920 LVX786427:LVX786456 LVX851963:LVX851992 LVX917499:LVX917528 LVX983035:LVX983064 MFT65531:MFT65560 MFT131067:MFT131096 MFT196603:MFT196632 MFT262139:MFT262168 MFT327675:MFT327704 MFT393211:MFT393240 MFT458747:MFT458776 MFT524283:MFT524312 MFT589819:MFT589848 MFT655355:MFT655384 MFT720891:MFT720920 MFT786427:MFT786456 MFT851963:MFT851992 MFT917499:MFT917528 MFT983035:MFT983064 MPP65531:MPP65560 MPP131067:MPP131096 MPP196603:MPP196632 MPP262139:MPP262168 MPP327675:MPP327704 MPP393211:MPP393240 MPP458747:MPP458776 MPP524283:MPP524312 MPP589819:MPP589848 MPP655355:MPP655384 MPP720891:MPP720920 MPP786427:MPP786456 MPP851963:MPP851992 MPP917499:MPP917528 MPP983035:MPP983064 MZL65531:MZL65560 MZL131067:MZL131096 MZL196603:MZL196632 MZL262139:MZL262168 MZL327675:MZL327704 MZL393211:MZL393240 MZL458747:MZL458776 MZL524283:MZL524312 MZL589819:MZL589848 MZL655355:MZL655384 MZL720891:MZL720920 MZL786427:MZL786456 MZL851963:MZL851992 MZL917499:MZL917528 MZL983035:MZL983064 NJH65531:NJH65560 NJH131067:NJH131096 NJH196603:NJH196632 NJH262139:NJH262168 NJH327675:NJH327704 NJH393211:NJH393240 NJH458747:NJH458776 NJH524283:NJH524312 NJH589819:NJH589848 NJH655355:NJH655384 NJH720891:NJH720920 NJH786427:NJH786456 NJH851963:NJH851992 NJH917499:NJH917528 NJH983035:NJH983064 NTD65531:NTD65560 NTD131067:NTD131096 NTD196603:NTD196632 NTD262139:NTD262168 NTD327675:NTD327704 NTD393211:NTD393240 NTD458747:NTD458776 NTD524283:NTD524312 NTD589819:NTD589848 NTD655355:NTD655384 NTD720891:NTD720920 NTD786427:NTD786456 NTD851963:NTD851992 NTD917499:NTD917528 NTD983035:NTD983064 OCZ65531:OCZ65560 OCZ131067:OCZ131096 OCZ196603:OCZ196632 OCZ262139:OCZ262168 OCZ327675:OCZ327704 OCZ393211:OCZ393240 OCZ458747:OCZ458776 OCZ524283:OCZ524312 OCZ589819:OCZ589848 OCZ655355:OCZ655384 OCZ720891:OCZ720920 OCZ786427:OCZ786456 OCZ851963:OCZ851992 OCZ917499:OCZ917528 OCZ983035:OCZ983064 OMV65531:OMV65560 OMV131067:OMV131096 OMV196603:OMV196632 OMV262139:OMV262168 OMV327675:OMV327704 OMV393211:OMV393240 OMV458747:OMV458776 OMV524283:OMV524312 OMV589819:OMV589848 OMV655355:OMV655384 OMV720891:OMV720920 OMV786427:OMV786456 OMV851963:OMV851992 OMV917499:OMV917528 OMV983035:OMV983064 OWR65531:OWR65560 OWR131067:OWR131096 OWR196603:OWR196632 OWR262139:OWR262168 OWR327675:OWR327704 OWR393211:OWR393240 OWR458747:OWR458776 OWR524283:OWR524312 OWR589819:OWR589848 OWR655355:OWR655384 OWR720891:OWR720920 OWR786427:OWR786456 OWR851963:OWR851992 OWR917499:OWR917528 OWR983035:OWR983064 PGN65531:PGN65560 PGN131067:PGN131096 PGN196603:PGN196632 PGN262139:PGN262168 PGN327675:PGN327704 PGN393211:PGN393240 PGN458747:PGN458776 PGN524283:PGN524312 PGN589819:PGN589848 PGN655355:PGN655384 PGN720891:PGN720920 PGN786427:PGN786456 PGN851963:PGN851992 PGN917499:PGN917528 PGN983035:PGN983064 PQJ65531:PQJ65560 PQJ131067:PQJ131096 PQJ196603:PQJ196632 PQJ262139:PQJ262168 PQJ327675:PQJ327704 PQJ393211:PQJ393240 PQJ458747:PQJ458776 PQJ524283:PQJ524312 PQJ589819:PQJ589848 PQJ655355:PQJ655384 PQJ720891:PQJ720920 PQJ786427:PQJ786456 PQJ851963:PQJ851992 PQJ917499:PQJ917528 PQJ983035:PQJ983064 QAF65531:QAF65560 QAF131067:QAF131096 QAF196603:QAF196632 QAF262139:QAF262168 QAF327675:QAF327704 QAF393211:QAF393240 QAF458747:QAF458776 QAF524283:QAF524312 QAF589819:QAF589848 QAF655355:QAF655384 QAF720891:QAF720920 QAF786427:QAF786456 QAF851963:QAF851992 QAF917499:QAF917528 QAF983035:QAF983064 QKB65531:QKB65560 QKB131067:QKB131096 QKB196603:QKB196632 QKB262139:QKB262168 QKB327675:QKB327704 QKB393211:QKB393240 QKB458747:QKB458776 QKB524283:QKB524312 QKB589819:QKB589848 QKB655355:QKB655384 QKB720891:QKB720920 QKB786427:QKB786456 QKB851963:QKB851992 QKB917499:QKB917528 QKB983035:QKB983064 QTX65531:QTX65560 QTX131067:QTX131096 QTX196603:QTX196632 QTX262139:QTX262168 QTX327675:QTX327704 QTX393211:QTX393240 QTX458747:QTX458776 QTX524283:QTX524312 QTX589819:QTX589848 QTX655355:QTX655384 QTX720891:QTX720920 QTX786427:QTX786456 QTX851963:QTX851992 QTX917499:QTX917528 QTX983035:QTX983064 RDT65531:RDT65560 RDT131067:RDT131096 RDT196603:RDT196632 RDT262139:RDT262168 RDT327675:RDT327704 RDT393211:RDT393240 RDT458747:RDT458776 RDT524283:RDT524312 RDT589819:RDT589848 RDT655355:RDT655384 RDT720891:RDT720920 RDT786427:RDT786456 RDT851963:RDT851992 RDT917499:RDT917528 RDT983035:RDT983064 RNP65531:RNP65560 RNP131067:RNP131096 RNP196603:RNP196632 RNP262139:RNP262168 RNP327675:RNP327704 RNP393211:RNP393240 RNP458747:RNP458776 RNP524283:RNP524312 RNP589819:RNP589848 RNP655355:RNP655384 RNP720891:RNP720920 RNP786427:RNP786456 RNP851963:RNP851992 RNP917499:RNP917528 RNP983035:RNP983064 RXL65531:RXL65560 RXL131067:RXL131096 RXL196603:RXL196632 RXL262139:RXL262168 RXL327675:RXL327704 RXL393211:RXL393240 RXL458747:RXL458776 RXL524283:RXL524312 RXL589819:RXL589848 RXL655355:RXL655384 RXL720891:RXL720920 RXL786427:RXL786456 RXL851963:RXL851992 RXL917499:RXL917528 RXL983035:RXL983064 SHH65531:SHH65560 SHH131067:SHH131096 SHH196603:SHH196632 SHH262139:SHH262168 SHH327675:SHH327704 SHH393211:SHH393240 SHH458747:SHH458776 SHH524283:SHH524312 SHH589819:SHH589848 SHH655355:SHH655384 SHH720891:SHH720920 SHH786427:SHH786456 SHH851963:SHH851992 SHH917499:SHH917528 SHH983035:SHH983064 SRD65531:SRD65560 SRD131067:SRD131096 SRD196603:SRD196632 SRD262139:SRD262168 SRD327675:SRD327704 SRD393211:SRD393240 SRD458747:SRD458776 SRD524283:SRD524312 SRD589819:SRD589848 SRD655355:SRD655384 SRD720891:SRD720920 SRD786427:SRD786456 SRD851963:SRD851992 SRD917499:SRD917528 SRD983035:SRD983064 TAZ65531:TAZ65560 TAZ131067:TAZ131096 TAZ196603:TAZ196632 TAZ262139:TAZ262168 TAZ327675:TAZ327704 TAZ393211:TAZ393240 TAZ458747:TAZ458776 TAZ524283:TAZ524312 TAZ589819:TAZ589848 TAZ655355:TAZ655384 TAZ720891:TAZ720920 TAZ786427:TAZ786456 TAZ851963:TAZ851992 TAZ917499:TAZ917528 TAZ983035:TAZ983064 TKV65531:TKV65560 TKV131067:TKV131096 TKV196603:TKV196632 TKV262139:TKV262168 TKV327675:TKV327704 TKV393211:TKV393240 TKV458747:TKV458776 TKV524283:TKV524312 TKV589819:TKV589848 TKV655355:TKV655384 TKV720891:TKV720920 TKV786427:TKV786456 TKV851963:TKV851992 TKV917499:TKV917528 TKV983035:TKV983064 TUR65531:TUR65560 TUR131067:TUR131096 TUR196603:TUR196632 TUR262139:TUR262168 TUR327675:TUR327704 TUR393211:TUR393240 TUR458747:TUR458776 TUR524283:TUR524312 TUR589819:TUR589848 TUR655355:TUR655384 TUR720891:TUR720920 TUR786427:TUR786456 TUR851963:TUR851992 TUR917499:TUR917528 TUR983035:TUR983064 UEN65531:UEN65560 UEN131067:UEN131096 UEN196603:UEN196632 UEN262139:UEN262168 UEN327675:UEN327704 UEN393211:UEN393240 UEN458747:UEN458776 UEN524283:UEN524312 UEN589819:UEN589848 UEN655355:UEN655384 UEN720891:UEN720920 UEN786427:UEN786456 UEN851963:UEN851992 UEN917499:UEN917528 UEN983035:UEN983064 UOJ65531:UOJ65560 UOJ131067:UOJ131096 UOJ196603:UOJ196632 UOJ262139:UOJ262168 UOJ327675:UOJ327704 UOJ393211:UOJ393240 UOJ458747:UOJ458776 UOJ524283:UOJ524312 UOJ589819:UOJ589848 UOJ655355:UOJ655384 UOJ720891:UOJ720920 UOJ786427:UOJ786456 UOJ851963:UOJ851992 UOJ917499:UOJ917528 UOJ983035:UOJ983064 UYF65531:UYF65560 UYF131067:UYF131096 UYF196603:UYF196632 UYF262139:UYF262168 UYF327675:UYF327704 UYF393211:UYF393240 UYF458747:UYF458776 UYF524283:UYF524312 UYF589819:UYF589848 UYF655355:UYF655384 UYF720891:UYF720920 UYF786427:UYF786456 UYF851963:UYF851992 UYF917499:UYF917528 UYF983035:UYF983064 VIB65531:VIB65560 VIB131067:VIB131096 VIB196603:VIB196632 VIB262139:VIB262168 VIB327675:VIB327704 VIB393211:VIB393240 VIB458747:VIB458776 VIB524283:VIB524312 VIB589819:VIB589848 VIB655355:VIB655384 VIB720891:VIB720920 VIB786427:VIB786456 VIB851963:VIB851992 VIB917499:VIB917528 VIB983035:VIB983064 VRX65531:VRX65560 VRX131067:VRX131096 VRX196603:VRX196632 VRX262139:VRX262168 VRX327675:VRX327704 VRX393211:VRX393240 VRX458747:VRX458776 VRX524283:VRX524312 VRX589819:VRX589848 VRX655355:VRX655384 VRX720891:VRX720920 VRX786427:VRX786456 VRX851963:VRX851992 VRX917499:VRX917528 VRX983035:VRX983064 WBT65531:WBT65560 WBT131067:WBT131096 WBT196603:WBT196632 WBT262139:WBT262168 WBT327675:WBT327704 WBT393211:WBT393240 WBT458747:WBT458776 WBT524283:WBT524312 WBT589819:WBT589848 WBT655355:WBT655384 WBT720891:WBT720920 WBT786427:WBT786456 WBT851963:WBT851992 WBT917499:WBT917528 WBT983035:WBT983064 WLP65531:WLP65560 WLP131067:WLP131096 WLP196603:WLP196632 WLP262139:WLP262168 WLP327675:WLP327704 WLP393211:WLP393240 WLP458747:WLP458776 WLP524283:WLP524312 WLP589819:WLP589848 WLP655355:WLP655384 WLP720891:WLP720920 WLP786427:WLP786456 WLP851963:WLP851992 WLP917499:WLP917528 WLP983035:WLP983064 WVL65531:WVL65560 WVL131067:WVL131096 WVL196603:WVL196632 WVL262139:WVL262168 WVL327675:WVL327704 WVL393211:WVL393240 WVL458747:WVL458776 WVL524283:WVL524312 WVL589819:WVL589848 WVL655355:WVL655384 WVL720891:WVL720920 WVL786427:WVL786456 WVL851963:WVL851992 WVL917499:WVL917528 WVL983035:WVL983064 WVL8:WVL24 WLP8:WLP24 WBT8:WBT24 VRX8:VRX24 VIB8:VIB24 UYF8:UYF24 UOJ8:UOJ24 UEN8:UEN24 TUR8:TUR24 TKV8:TKV24 TAZ8:TAZ24 SRD8:SRD24 SHH8:SHH24 RXL8:RXL24 RNP8:RNP24 RDT8:RDT24 QTX8:QTX24 QKB8:QKB24 QAF8:QAF24 PQJ8:PQJ24 PGN8:PGN24 OWR8:OWR24 OMV8:OMV24 OCZ8:OCZ24 NTD8:NTD24 NJH8:NJH24 MZL8:MZL24 MPP8:MPP24 MFT8:MFT24 LVX8:LVX24 LMB8:LMB24 LCF8:LCF24 KSJ8:KSJ24 KIN8:KIN24 JYR8:JYR24 JOV8:JOV24 JEZ8:JEZ24 IVD8:IVD24 ILH8:ILH24 IBL8:IBL24 HRP8:HRP24 HHT8:HHT24 GXX8:GXX24 GOB8:GOB24 GEF8:GEF24 FUJ8:FUJ24 FKN8:FKN24 FAR8:FAR24 EQV8:EQV24 EGZ8:EGZ24 DXD8:DXD24 DNH8:DNH24 DDL8:DDL24 CTP8:CTP24 CJT8:CJT24 BZX8:BZX24 BQB8:BQB24 BGF8:BGF24 AWJ8:AWJ24 AMN8:AMN24 ACR8:ACR24 SV8:SV24 IZ8:IZ24" xr:uid="{00000000-0002-0000-0200-000000000000}">
      <formula1>EmployeeName</formula1>
    </dataValidation>
  </dataValidations>
  <pageMargins left="0.7" right="0.7" top="0.75" bottom="0.75" header="0.3" footer="0.3"/>
  <pageSetup paperSize="9" scale="34" fitToHeight="0" orientation="landscape"/>
  <headerFooter>
    <oddFooter>&amp;C&amp;1#&amp;"Calibri"&amp;9&amp;K000000 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23"/>
  <sheetViews>
    <sheetView topLeftCell="A3" zoomScale="42" zoomScaleNormal="78" workbookViewId="0">
      <selection activeCell="AI13" sqref="AI13"/>
    </sheetView>
  </sheetViews>
  <sheetFormatPr defaultColWidth="9.109375" defaultRowHeight="13.8"/>
  <cols>
    <col min="1" max="1" width="9.109375" style="102"/>
    <col min="2" max="2" width="12.88671875" style="102" customWidth="1"/>
    <col min="3" max="3" width="30" style="102" customWidth="1"/>
    <col min="4" max="4" width="12.109375" style="102" customWidth="1"/>
    <col min="5" max="5" width="19.88671875" style="102" customWidth="1"/>
    <col min="6" max="6" width="13.109375" style="102" customWidth="1"/>
    <col min="7" max="7" width="11.5546875" style="102" customWidth="1"/>
    <col min="8" max="8" width="8.44140625" style="102" customWidth="1"/>
    <col min="9" max="9" width="19.5546875" style="102" customWidth="1"/>
    <col min="10" max="10" width="8.88671875" style="103" customWidth="1"/>
    <col min="11" max="11" width="8.109375" style="102" customWidth="1"/>
    <col min="12" max="12" width="10.44140625" style="102" customWidth="1"/>
    <col min="13" max="13" width="10.5546875" style="102" customWidth="1"/>
    <col min="14" max="14" width="10.5546875" style="102" hidden="1" customWidth="1"/>
    <col min="15" max="15" width="8" style="102" hidden="1" customWidth="1"/>
    <col min="16" max="16" width="9.109375" style="102" hidden="1" customWidth="1"/>
    <col min="17" max="17" width="6.5546875" style="102" hidden="1" customWidth="1"/>
    <col min="18" max="18" width="8.88671875" style="102" hidden="1" customWidth="1"/>
    <col min="19" max="19" width="17.44140625" style="102" customWidth="1"/>
    <col min="20" max="20" width="14.44140625" style="102" customWidth="1"/>
    <col min="21" max="21" width="16" style="102" customWidth="1"/>
    <col min="22" max="22" width="8.88671875" style="102" customWidth="1"/>
    <col min="23" max="23" width="11.5546875" style="102" customWidth="1"/>
    <col min="24" max="24" width="12.44140625" style="102" customWidth="1"/>
    <col min="25" max="25" width="13.33203125" style="104" bestFit="1" customWidth="1"/>
    <col min="26" max="26" width="10" style="102" customWidth="1"/>
    <col min="27" max="27" width="6.44140625" style="102" customWidth="1"/>
    <col min="28" max="28" width="5.5546875" style="102" customWidth="1"/>
    <col min="29" max="29" width="19.109375" style="102" customWidth="1"/>
    <col min="30" max="30" width="16.44140625" style="102" customWidth="1"/>
    <col min="31" max="31" width="12" style="102" customWidth="1"/>
    <col min="32" max="32" width="11.88671875" style="102" customWidth="1"/>
    <col min="33" max="33" width="12.44140625" style="102" customWidth="1"/>
    <col min="34" max="34" width="12.109375" style="102" customWidth="1"/>
    <col min="35" max="35" width="12.44140625" style="102" customWidth="1"/>
    <col min="36" max="36" width="29.44140625" style="102" customWidth="1"/>
    <col min="37" max="37" width="8.44140625" style="102" customWidth="1"/>
    <col min="38" max="16384" width="9.109375" style="102"/>
  </cols>
  <sheetData>
    <row r="1" spans="1:37" ht="37.5" customHeight="1">
      <c r="A1" s="266" t="s">
        <v>66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</row>
    <row r="2" spans="1:37" ht="127.5" customHeight="1">
      <c r="A2" s="285" t="s">
        <v>67</v>
      </c>
      <c r="B2" s="285"/>
      <c r="C2" s="286"/>
      <c r="D2" s="267" t="s">
        <v>68</v>
      </c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9"/>
      <c r="U2" s="123"/>
      <c r="V2" s="270" t="s">
        <v>69</v>
      </c>
      <c r="W2" s="271"/>
      <c r="X2" s="271"/>
      <c r="Y2" s="271"/>
      <c r="Z2" s="271"/>
      <c r="AA2" s="271"/>
      <c r="AB2" s="271"/>
      <c r="AC2" s="272" t="s">
        <v>299</v>
      </c>
      <c r="AD2" s="272"/>
      <c r="AE2" s="272"/>
      <c r="AF2" s="272"/>
      <c r="AG2" s="272"/>
      <c r="AH2" s="272"/>
      <c r="AI2" s="272"/>
      <c r="AJ2" s="139" t="s">
        <v>70</v>
      </c>
      <c r="AK2" s="140"/>
    </row>
    <row r="3" spans="1:37" ht="135.75" customHeight="1">
      <c r="A3" s="285"/>
      <c r="B3" s="285"/>
      <c r="C3" s="286"/>
      <c r="D3" s="273" t="s">
        <v>71</v>
      </c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124"/>
      <c r="V3" s="270" t="s">
        <v>72</v>
      </c>
      <c r="W3" s="271"/>
      <c r="X3" s="271"/>
      <c r="Y3" s="271"/>
      <c r="Z3" s="271"/>
      <c r="AA3" s="271"/>
      <c r="AB3" s="271"/>
      <c r="AC3" s="276" t="s">
        <v>73</v>
      </c>
      <c r="AD3" s="276"/>
      <c r="AE3" s="276"/>
      <c r="AF3" s="276"/>
      <c r="AG3" s="276"/>
      <c r="AH3" s="276"/>
      <c r="AI3" s="276"/>
      <c r="AJ3" s="198" t="s">
        <v>282</v>
      </c>
      <c r="AK3" s="141"/>
    </row>
    <row r="4" spans="1:37" s="101" customFormat="1" ht="96.75" customHeight="1">
      <c r="A4" s="279" t="s">
        <v>74</v>
      </c>
      <c r="B4" s="280" t="s">
        <v>75</v>
      </c>
      <c r="C4" s="280" t="s">
        <v>76</v>
      </c>
      <c r="D4" s="280" t="s">
        <v>77</v>
      </c>
      <c r="E4" s="280" t="s">
        <v>78</v>
      </c>
      <c r="F4" s="281" t="s">
        <v>79</v>
      </c>
      <c r="G4" s="283" t="s">
        <v>80</v>
      </c>
      <c r="H4" s="283" t="s">
        <v>81</v>
      </c>
      <c r="I4" s="281" t="s">
        <v>265</v>
      </c>
      <c r="J4" s="284" t="s">
        <v>82</v>
      </c>
      <c r="K4" s="283" t="s">
        <v>83</v>
      </c>
      <c r="L4" s="287" t="s">
        <v>84</v>
      </c>
      <c r="M4" s="288"/>
      <c r="N4" s="289" t="s">
        <v>85</v>
      </c>
      <c r="O4" s="290"/>
      <c r="P4" s="290"/>
      <c r="Q4" s="290"/>
      <c r="R4" s="291"/>
      <c r="S4" s="292" t="s">
        <v>86</v>
      </c>
      <c r="T4" s="293"/>
      <c r="U4" s="293"/>
      <c r="V4" s="293"/>
      <c r="W4" s="293"/>
      <c r="X4" s="293"/>
      <c r="Y4" s="293"/>
      <c r="Z4" s="293"/>
      <c r="AA4" s="293"/>
      <c r="AB4" s="294"/>
      <c r="AC4" s="281" t="s">
        <v>87</v>
      </c>
      <c r="AD4" s="295" t="s">
        <v>88</v>
      </c>
      <c r="AE4" s="295"/>
      <c r="AF4" s="295"/>
      <c r="AG4" s="295"/>
      <c r="AH4" s="295"/>
      <c r="AI4" s="295"/>
      <c r="AJ4" s="283" t="s">
        <v>89</v>
      </c>
      <c r="AK4" s="283" t="s">
        <v>90</v>
      </c>
    </row>
    <row r="5" spans="1:37" s="101" customFormat="1" ht="237" customHeight="1">
      <c r="A5" s="279"/>
      <c r="B5" s="280"/>
      <c r="C5" s="280"/>
      <c r="D5" s="280"/>
      <c r="E5" s="280"/>
      <c r="F5" s="282"/>
      <c r="G5" s="283"/>
      <c r="H5" s="283"/>
      <c r="I5" s="282"/>
      <c r="J5" s="284"/>
      <c r="K5" s="283"/>
      <c r="L5" s="105" t="s">
        <v>91</v>
      </c>
      <c r="M5" s="105" t="s">
        <v>92</v>
      </c>
      <c r="N5" s="118" t="s">
        <v>93</v>
      </c>
      <c r="O5" s="118" t="s">
        <v>94</v>
      </c>
      <c r="P5" s="118" t="s">
        <v>95</v>
      </c>
      <c r="Q5" s="118" t="s">
        <v>96</v>
      </c>
      <c r="R5" s="118" t="s">
        <v>97</v>
      </c>
      <c r="S5" s="105" t="s">
        <v>98</v>
      </c>
      <c r="T5" s="105" t="s">
        <v>99</v>
      </c>
      <c r="U5" s="105" t="s">
        <v>100</v>
      </c>
      <c r="V5" s="105" t="s">
        <v>101</v>
      </c>
      <c r="W5" s="105" t="s">
        <v>102</v>
      </c>
      <c r="X5" s="105" t="s">
        <v>103</v>
      </c>
      <c r="Y5" s="105" t="s">
        <v>104</v>
      </c>
      <c r="Z5" s="105" t="s">
        <v>105</v>
      </c>
      <c r="AA5" s="105" t="s">
        <v>106</v>
      </c>
      <c r="AB5" s="105" t="s">
        <v>107</v>
      </c>
      <c r="AC5" s="282"/>
      <c r="AD5" s="105" t="s">
        <v>108</v>
      </c>
      <c r="AE5" s="105" t="s">
        <v>109</v>
      </c>
      <c r="AF5" s="105" t="s">
        <v>110</v>
      </c>
      <c r="AG5" s="105" t="s">
        <v>111</v>
      </c>
      <c r="AH5" s="105" t="s">
        <v>112</v>
      </c>
      <c r="AI5" s="105" t="s">
        <v>113</v>
      </c>
      <c r="AJ5" s="283"/>
      <c r="AK5" s="283"/>
    </row>
    <row r="6" spans="1:37" s="101" customFormat="1" ht="19.8">
      <c r="A6" s="106">
        <v>-1</v>
      </c>
      <c r="B6" s="106"/>
      <c r="C6" s="106">
        <v>-2</v>
      </c>
      <c r="D6" s="106">
        <v>-3</v>
      </c>
      <c r="E6" s="106">
        <v>-4</v>
      </c>
      <c r="F6" s="106">
        <v>-5</v>
      </c>
      <c r="G6" s="106">
        <v>-6</v>
      </c>
      <c r="H6" s="106">
        <v>-7</v>
      </c>
      <c r="I6" s="106">
        <v>-8</v>
      </c>
      <c r="J6" s="106">
        <v>-9</v>
      </c>
      <c r="K6" s="106">
        <v>-10</v>
      </c>
      <c r="L6" s="106"/>
      <c r="M6" s="106"/>
      <c r="N6" s="106"/>
      <c r="O6" s="106"/>
      <c r="P6" s="106"/>
      <c r="Q6" s="106"/>
      <c r="R6" s="106"/>
      <c r="S6" s="106">
        <v>-11</v>
      </c>
      <c r="T6" s="106">
        <v>-12</v>
      </c>
      <c r="U6" s="106"/>
      <c r="V6" s="106">
        <v>-13</v>
      </c>
      <c r="W6" s="106"/>
      <c r="X6" s="106"/>
      <c r="Y6" s="106">
        <v>-14</v>
      </c>
      <c r="Z6" s="106">
        <v>-15</v>
      </c>
      <c r="AA6" s="106"/>
      <c r="AB6" s="106"/>
      <c r="AC6" s="106">
        <v>-16</v>
      </c>
      <c r="AD6" s="106">
        <v>-17</v>
      </c>
      <c r="AE6" s="106">
        <v>-18</v>
      </c>
      <c r="AF6" s="106">
        <v>-19</v>
      </c>
      <c r="AG6" s="106">
        <v>-20</v>
      </c>
      <c r="AH6" s="106">
        <v>-21</v>
      </c>
      <c r="AI6" s="106">
        <v>-22</v>
      </c>
      <c r="AJ6" s="106">
        <v>-23</v>
      </c>
      <c r="AK6" s="106">
        <v>-24</v>
      </c>
    </row>
    <row r="7" spans="1:37" s="101" customFormat="1" ht="75.900000000000006" customHeight="1">
      <c r="A7" s="107">
        <v>1</v>
      </c>
      <c r="B7" s="37" t="s">
        <v>15</v>
      </c>
      <c r="C7" s="38"/>
      <c r="D7" s="108"/>
      <c r="E7" s="109"/>
      <c r="F7" s="110">
        <f>SUM(N7:R7)</f>
        <v>19007</v>
      </c>
      <c r="G7" s="111" t="s">
        <v>114</v>
      </c>
      <c r="H7" s="112">
        <f>'Form No.XXVI'!AO7</f>
        <v>0</v>
      </c>
      <c r="I7" s="112" t="s">
        <v>61</v>
      </c>
      <c r="J7" s="119">
        <f>F7/28</f>
        <v>678.82142857142856</v>
      </c>
      <c r="K7" s="119"/>
      <c r="L7" s="119">
        <f t="shared" ref="L7:L9" si="0">(F7/26)/8</f>
        <v>91.379807692307693</v>
      </c>
      <c r="M7" s="213">
        <f>(K7*L7)*2</f>
        <v>0</v>
      </c>
      <c r="N7" s="120">
        <v>6829</v>
      </c>
      <c r="O7" s="120">
        <v>7313</v>
      </c>
      <c r="P7" s="120">
        <v>4865</v>
      </c>
      <c r="Q7" s="120"/>
      <c r="R7" s="120"/>
      <c r="S7" s="125">
        <v>4728</v>
      </c>
      <c r="T7" s="125">
        <v>5091</v>
      </c>
      <c r="U7" s="125">
        <v>3340</v>
      </c>
      <c r="V7" s="126"/>
      <c r="W7" s="127"/>
      <c r="X7" s="134"/>
      <c r="Y7" s="134">
        <f>+M7</f>
        <v>0</v>
      </c>
      <c r="Z7" s="122" t="s">
        <v>61</v>
      </c>
      <c r="AA7" s="122" t="s">
        <v>61</v>
      </c>
      <c r="AB7" s="135" t="s">
        <v>61</v>
      </c>
      <c r="AC7" s="136">
        <f>+X7+U7+T7+S7+Y7</f>
        <v>13159</v>
      </c>
      <c r="AD7" s="136">
        <f>IF(ROUNDUP((+AC7-U7-Y7)*12%,0)&gt;1800,1800,(ROUNDUP((+AC7-U7-Y7)*12%,0)))</f>
        <v>1179</v>
      </c>
      <c r="AE7" s="137">
        <f>IF(ROUNDUP(AC7*0.75%,0)&gt;158,158,(ROUNDUP(AC7*0.75%,0)))</f>
        <v>99</v>
      </c>
      <c r="AF7" s="137"/>
      <c r="AG7" s="137"/>
      <c r="AH7" s="136">
        <f>SUM(AD7:AG7) + SUM(V7:W7)</f>
        <v>1278</v>
      </c>
      <c r="AI7" s="136">
        <f t="shared" ref="AI7:AI12" si="1">AC7-AH7</f>
        <v>11881</v>
      </c>
      <c r="AJ7" s="113"/>
      <c r="AK7" s="142" t="s">
        <v>115</v>
      </c>
    </row>
    <row r="8" spans="1:37" s="101" customFormat="1" ht="75.900000000000006" customHeight="1">
      <c r="A8" s="107">
        <v>2</v>
      </c>
      <c r="B8" s="41" t="s">
        <v>267</v>
      </c>
      <c r="C8" s="38"/>
      <c r="D8" s="108"/>
      <c r="E8" s="109"/>
      <c r="F8" s="110">
        <f>SUM(N8:R8)</f>
        <v>16991</v>
      </c>
      <c r="G8" s="111" t="s">
        <v>114</v>
      </c>
      <c r="H8" s="112">
        <f>'Form No.XXVI'!AO8</f>
        <v>0</v>
      </c>
      <c r="I8" s="112" t="s">
        <v>61</v>
      </c>
      <c r="J8" s="119">
        <f t="shared" ref="J8:J12" si="2">F8/28</f>
        <v>606.82142857142856</v>
      </c>
      <c r="K8" s="119">
        <v>0</v>
      </c>
      <c r="L8" s="119">
        <f t="shared" si="0"/>
        <v>81.6875</v>
      </c>
      <c r="M8" s="213">
        <f>(K8*L8)*2</f>
        <v>0</v>
      </c>
      <c r="N8" s="120">
        <v>6829</v>
      </c>
      <c r="O8" s="120">
        <v>7313</v>
      </c>
      <c r="P8" s="120">
        <v>2849</v>
      </c>
      <c r="Q8" s="120"/>
      <c r="R8" s="120"/>
      <c r="S8" s="125">
        <v>4202</v>
      </c>
      <c r="T8" s="125">
        <v>4525</v>
      </c>
      <c r="U8" s="125">
        <v>1729</v>
      </c>
      <c r="V8" s="129"/>
      <c r="W8" s="129"/>
      <c r="X8" s="134"/>
      <c r="Y8" s="134">
        <f t="shared" ref="Y8:Y12" si="3">+M8</f>
        <v>0</v>
      </c>
      <c r="Z8" s="122" t="s">
        <v>61</v>
      </c>
      <c r="AA8" s="122" t="s">
        <v>61</v>
      </c>
      <c r="AB8" s="135" t="s">
        <v>61</v>
      </c>
      <c r="AC8" s="136">
        <f t="shared" ref="AC8:AC12" si="4">+X8+U8+T8+S8+Y8</f>
        <v>10456</v>
      </c>
      <c r="AD8" s="136">
        <f>IF(ROUNDUP((+AC8-U8-Y8)*12%,0)&gt;1800,1800,(ROUNDUP((+AC8-U8-Y8)*12%,0)))</f>
        <v>1048</v>
      </c>
      <c r="AE8" s="137">
        <f t="shared" ref="AE8:AE12" si="5">IF(ROUNDUP(AC8*0.75%,0)&gt;158,158,(ROUNDUP(AC8*0.75%,0)))</f>
        <v>79</v>
      </c>
      <c r="AF8" s="137"/>
      <c r="AG8" s="137"/>
      <c r="AH8" s="136">
        <f t="shared" ref="AH8:AH12" si="6">SUM(AD8:AG8) + SUM(V8:W8)</f>
        <v>1127</v>
      </c>
      <c r="AI8" s="136">
        <f t="shared" si="1"/>
        <v>9329</v>
      </c>
      <c r="AJ8" s="113"/>
      <c r="AK8" s="142" t="s">
        <v>115</v>
      </c>
    </row>
    <row r="9" spans="1:37" s="101" customFormat="1" ht="75.900000000000006" customHeight="1">
      <c r="A9" s="107">
        <v>3</v>
      </c>
      <c r="B9" s="202" t="s">
        <v>273</v>
      </c>
      <c r="C9" s="206"/>
      <c r="D9" s="108"/>
      <c r="E9" s="109"/>
      <c r="F9" s="110">
        <f>SUM(N9:R9)</f>
        <v>16991</v>
      </c>
      <c r="G9" s="111" t="s">
        <v>114</v>
      </c>
      <c r="H9" s="112">
        <f>'Form No.XXVI'!AO9</f>
        <v>0</v>
      </c>
      <c r="I9" s="112" t="s">
        <v>61</v>
      </c>
      <c r="J9" s="119">
        <f t="shared" si="2"/>
        <v>606.82142857142856</v>
      </c>
      <c r="K9" s="119">
        <v>0</v>
      </c>
      <c r="L9" s="119">
        <f t="shared" si="0"/>
        <v>81.6875</v>
      </c>
      <c r="M9" s="213">
        <f>(K9*L9)*2</f>
        <v>0</v>
      </c>
      <c r="N9" s="120">
        <v>6829</v>
      </c>
      <c r="O9" s="120">
        <v>7313</v>
      </c>
      <c r="P9" s="120">
        <v>2849</v>
      </c>
      <c r="Q9" s="120"/>
      <c r="R9" s="120"/>
      <c r="S9" s="125">
        <v>4202</v>
      </c>
      <c r="T9" s="125">
        <v>4525</v>
      </c>
      <c r="U9" s="125">
        <v>1729</v>
      </c>
      <c r="V9" s="129"/>
      <c r="W9" s="129"/>
      <c r="X9" s="128"/>
      <c r="Y9" s="134">
        <f t="shared" si="3"/>
        <v>0</v>
      </c>
      <c r="Z9" s="122" t="s">
        <v>61</v>
      </c>
      <c r="AA9" s="122" t="s">
        <v>61</v>
      </c>
      <c r="AB9" s="122" t="s">
        <v>61</v>
      </c>
      <c r="AC9" s="136">
        <f t="shared" si="4"/>
        <v>10456</v>
      </c>
      <c r="AD9" s="136">
        <f t="shared" ref="AD9:AD12" si="7">IF(ROUNDUP((+AC9-U9-Y9)*12%,0)&gt;1800,1800,(ROUNDUP((+AC9-U9-Y9)*12%,0)))</f>
        <v>1048</v>
      </c>
      <c r="AE9" s="137">
        <f t="shared" si="5"/>
        <v>79</v>
      </c>
      <c r="AF9" s="137"/>
      <c r="AG9" s="137"/>
      <c r="AH9" s="136">
        <f t="shared" si="6"/>
        <v>1127</v>
      </c>
      <c r="AI9" s="136">
        <f t="shared" si="1"/>
        <v>9329</v>
      </c>
      <c r="AJ9" s="113"/>
      <c r="AK9" s="142" t="s">
        <v>115</v>
      </c>
    </row>
    <row r="10" spans="1:37" s="101" customFormat="1" ht="75.900000000000006" customHeight="1">
      <c r="A10" s="107">
        <v>4</v>
      </c>
      <c r="B10" s="202" t="s">
        <v>284</v>
      </c>
      <c r="C10" s="206"/>
      <c r="D10" s="108"/>
      <c r="E10" s="109"/>
      <c r="F10" s="110">
        <f t="shared" ref="F10:F12" si="8">SUM(N10:R10)</f>
        <v>16991</v>
      </c>
      <c r="G10" s="111" t="s">
        <v>114</v>
      </c>
      <c r="H10" s="112">
        <f>'Form No.XXVI'!AO10</f>
        <v>0</v>
      </c>
      <c r="I10" s="112" t="s">
        <v>61</v>
      </c>
      <c r="J10" s="119">
        <f t="shared" si="2"/>
        <v>606.82142857142856</v>
      </c>
      <c r="K10" s="119">
        <v>0</v>
      </c>
      <c r="L10" s="119">
        <f>(F10/26)/8</f>
        <v>81.6875</v>
      </c>
      <c r="M10" s="213">
        <f t="shared" ref="M10:M12" si="9">(K10*L10)*2</f>
        <v>0</v>
      </c>
      <c r="N10" s="120">
        <v>6829</v>
      </c>
      <c r="O10" s="120">
        <v>7313</v>
      </c>
      <c r="P10" s="120">
        <v>2849</v>
      </c>
      <c r="Q10" s="120"/>
      <c r="R10" s="120"/>
      <c r="S10" s="125">
        <v>2626.5384615384614</v>
      </c>
      <c r="T10" s="125">
        <v>2812.6923076923076</v>
      </c>
      <c r="U10" s="125">
        <v>1095.7692307692307</v>
      </c>
      <c r="V10" s="129"/>
      <c r="W10" s="129"/>
      <c r="X10" s="128"/>
      <c r="Y10" s="134">
        <f t="shared" si="3"/>
        <v>0</v>
      </c>
      <c r="Z10" s="122" t="s">
        <v>61</v>
      </c>
      <c r="AA10" s="122" t="s">
        <v>61</v>
      </c>
      <c r="AB10" s="122" t="s">
        <v>61</v>
      </c>
      <c r="AC10" s="136">
        <f t="shared" si="4"/>
        <v>6535</v>
      </c>
      <c r="AD10" s="136">
        <f t="shared" si="7"/>
        <v>653</v>
      </c>
      <c r="AE10" s="137">
        <f t="shared" si="5"/>
        <v>50</v>
      </c>
      <c r="AF10" s="137"/>
      <c r="AG10" s="137"/>
      <c r="AH10" s="136">
        <f t="shared" si="6"/>
        <v>703</v>
      </c>
      <c r="AI10" s="136">
        <f t="shared" si="1"/>
        <v>5832</v>
      </c>
      <c r="AJ10" s="113"/>
      <c r="AK10" s="142" t="s">
        <v>115</v>
      </c>
    </row>
    <row r="11" spans="1:37" s="101" customFormat="1" ht="75.900000000000006" customHeight="1">
      <c r="A11" s="107">
        <v>5</v>
      </c>
      <c r="B11" s="202" t="s">
        <v>285</v>
      </c>
      <c r="C11" s="206"/>
      <c r="D11" s="108"/>
      <c r="E11" s="109"/>
      <c r="F11" s="110">
        <f t="shared" si="8"/>
        <v>16991</v>
      </c>
      <c r="G11" s="111" t="s">
        <v>114</v>
      </c>
      <c r="H11" s="112">
        <f>'Form No.XXVI'!AO11</f>
        <v>0</v>
      </c>
      <c r="I11" s="112" t="s">
        <v>61</v>
      </c>
      <c r="J11" s="119">
        <f t="shared" si="2"/>
        <v>606.82142857142856</v>
      </c>
      <c r="K11" s="119">
        <v>0</v>
      </c>
      <c r="L11" s="119">
        <f t="shared" ref="L11:L12" si="10">(F11/26)/8</f>
        <v>81.6875</v>
      </c>
      <c r="M11" s="213">
        <f t="shared" si="9"/>
        <v>0</v>
      </c>
      <c r="N11" s="120">
        <v>6829</v>
      </c>
      <c r="O11" s="120">
        <v>7313</v>
      </c>
      <c r="P11" s="120">
        <v>2849</v>
      </c>
      <c r="Q11" s="120"/>
      <c r="R11" s="120"/>
      <c r="S11" s="125">
        <v>1050.6153846153845</v>
      </c>
      <c r="T11" s="125">
        <v>1125.0769230769231</v>
      </c>
      <c r="U11" s="125">
        <v>438.30769230769232</v>
      </c>
      <c r="V11" s="129"/>
      <c r="W11" s="129"/>
      <c r="X11" s="128"/>
      <c r="Y11" s="134">
        <f t="shared" si="3"/>
        <v>0</v>
      </c>
      <c r="Z11" s="122" t="s">
        <v>61</v>
      </c>
      <c r="AA11" s="122" t="s">
        <v>61</v>
      </c>
      <c r="AB11" s="122" t="s">
        <v>61</v>
      </c>
      <c r="AC11" s="136">
        <f t="shared" si="4"/>
        <v>2614</v>
      </c>
      <c r="AD11" s="136">
        <f t="shared" si="7"/>
        <v>262</v>
      </c>
      <c r="AE11" s="137">
        <f t="shared" si="5"/>
        <v>20</v>
      </c>
      <c r="AF11" s="137"/>
      <c r="AG11" s="137"/>
      <c r="AH11" s="136">
        <f t="shared" si="6"/>
        <v>282</v>
      </c>
      <c r="AI11" s="136">
        <f t="shared" si="1"/>
        <v>2332</v>
      </c>
      <c r="AJ11" s="113"/>
      <c r="AK11" s="142" t="s">
        <v>115</v>
      </c>
    </row>
    <row r="12" spans="1:37" s="101" customFormat="1" ht="75.900000000000006" customHeight="1">
      <c r="A12" s="107">
        <v>6</v>
      </c>
      <c r="B12" s="202" t="s">
        <v>286</v>
      </c>
      <c r="C12" s="206"/>
      <c r="D12" s="108"/>
      <c r="E12" s="109"/>
      <c r="F12" s="110">
        <f t="shared" si="8"/>
        <v>16991</v>
      </c>
      <c r="G12" s="111" t="s">
        <v>114</v>
      </c>
      <c r="H12" s="112">
        <f>'Form No.XXVI'!AO12</f>
        <v>0</v>
      </c>
      <c r="I12" s="112" t="s">
        <v>61</v>
      </c>
      <c r="J12" s="119">
        <f t="shared" si="2"/>
        <v>606.82142857142856</v>
      </c>
      <c r="K12" s="119">
        <v>0</v>
      </c>
      <c r="L12" s="119">
        <f t="shared" si="10"/>
        <v>81.6875</v>
      </c>
      <c r="M12" s="213">
        <f t="shared" si="9"/>
        <v>0</v>
      </c>
      <c r="N12" s="120">
        <v>6829</v>
      </c>
      <c r="O12" s="120">
        <v>7313</v>
      </c>
      <c r="P12" s="120">
        <v>2849</v>
      </c>
      <c r="Q12" s="120"/>
      <c r="R12" s="120"/>
      <c r="S12" s="125">
        <v>1313.2692307692307</v>
      </c>
      <c r="T12" s="125">
        <v>1406.3461538461538</v>
      </c>
      <c r="U12" s="125">
        <v>547.88461538461536</v>
      </c>
      <c r="V12" s="129"/>
      <c r="W12" s="129"/>
      <c r="X12" s="128"/>
      <c r="Y12" s="134">
        <f t="shared" si="3"/>
        <v>0</v>
      </c>
      <c r="Z12" s="122" t="s">
        <v>61</v>
      </c>
      <c r="AA12" s="122" t="s">
        <v>61</v>
      </c>
      <c r="AB12" s="122" t="s">
        <v>61</v>
      </c>
      <c r="AC12" s="136">
        <f t="shared" si="4"/>
        <v>3267.5</v>
      </c>
      <c r="AD12" s="136">
        <f t="shared" si="7"/>
        <v>327</v>
      </c>
      <c r="AE12" s="137">
        <f t="shared" si="5"/>
        <v>25</v>
      </c>
      <c r="AF12" s="137"/>
      <c r="AG12" s="137"/>
      <c r="AH12" s="136">
        <f t="shared" si="6"/>
        <v>352</v>
      </c>
      <c r="AI12" s="136">
        <f t="shared" si="1"/>
        <v>2915.5</v>
      </c>
      <c r="AJ12" s="113"/>
      <c r="AK12" s="142" t="s">
        <v>115</v>
      </c>
    </row>
    <row r="13" spans="1:37" s="101" customFormat="1" ht="19.8">
      <c r="A13" s="113"/>
      <c r="B13" s="29"/>
      <c r="C13" s="29"/>
      <c r="D13" s="114"/>
      <c r="E13" s="115"/>
      <c r="F13" s="116"/>
      <c r="G13" s="116"/>
      <c r="H13" s="117"/>
      <c r="I13" s="117"/>
      <c r="J13" s="121"/>
      <c r="K13" s="122"/>
      <c r="L13" s="122"/>
      <c r="M13" s="214">
        <f>SUM(M7:M9)</f>
        <v>0</v>
      </c>
      <c r="N13" s="122"/>
      <c r="O13" s="122"/>
      <c r="P13" s="122"/>
      <c r="Q13" s="122"/>
      <c r="R13" s="130" t="s">
        <v>116</v>
      </c>
      <c r="S13" s="131">
        <f>SUM(S7:S12)</f>
        <v>18122.423076923074</v>
      </c>
      <c r="T13" s="131">
        <f>SUM(T7:T12)</f>
        <v>19485.115384615383</v>
      </c>
      <c r="U13" s="131">
        <f>SUM(U7:U12)</f>
        <v>8879.9615384615372</v>
      </c>
      <c r="V13" s="131">
        <f>SUM(V7:V9)</f>
        <v>0</v>
      </c>
      <c r="W13" s="131">
        <f>SUM(W7:W9)</f>
        <v>0</v>
      </c>
      <c r="X13" s="131">
        <f>SUM(X7:X9)</f>
        <v>0</v>
      </c>
      <c r="Y13" s="131">
        <f>SUM(Y7:Y9)</f>
        <v>0</v>
      </c>
      <c r="Z13" s="131">
        <f t="shared" ref="Z13:AI13" si="11">SUM(Z7:Z12)</f>
        <v>0</v>
      </c>
      <c r="AA13" s="131">
        <f t="shared" si="11"/>
        <v>0</v>
      </c>
      <c r="AB13" s="131">
        <f t="shared" si="11"/>
        <v>0</v>
      </c>
      <c r="AC13" s="131">
        <f t="shared" si="11"/>
        <v>46487.5</v>
      </c>
      <c r="AD13" s="131">
        <f t="shared" si="11"/>
        <v>4517</v>
      </c>
      <c r="AE13" s="131">
        <f t="shared" si="11"/>
        <v>352</v>
      </c>
      <c r="AF13" s="131">
        <f t="shared" si="11"/>
        <v>0</v>
      </c>
      <c r="AG13" s="131">
        <f t="shared" si="11"/>
        <v>0</v>
      </c>
      <c r="AH13" s="131">
        <f t="shared" si="11"/>
        <v>4869</v>
      </c>
      <c r="AI13" s="131">
        <f t="shared" si="11"/>
        <v>41618.5</v>
      </c>
      <c r="AJ13" s="131"/>
      <c r="AK13" s="143">
        <f>SUM(AK7:AK9)</f>
        <v>0</v>
      </c>
    </row>
    <row r="14" spans="1:37" ht="27.9" customHeight="1">
      <c r="S14" s="103"/>
      <c r="AD14" s="138"/>
    </row>
    <row r="15" spans="1:37" ht="63" customHeight="1">
      <c r="A15" s="277" t="s">
        <v>283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</row>
    <row r="16" spans="1:37" ht="27.9" customHeight="1">
      <c r="T16" s="132"/>
      <c r="U16" s="133"/>
    </row>
    <row r="17" spans="20:21" ht="27.9" customHeight="1">
      <c r="T17" s="132"/>
      <c r="U17" s="133"/>
    </row>
    <row r="18" spans="20:21" ht="27.9" customHeight="1"/>
    <row r="19" spans="20:21" ht="27.9" customHeight="1"/>
    <row r="20" spans="20:21" ht="27.9" customHeight="1"/>
    <row r="21" spans="20:21" ht="27.9" customHeight="1"/>
    <row r="22" spans="20:21" ht="27.9" customHeight="1"/>
    <row r="23" spans="20:21" ht="27.9" customHeight="1"/>
  </sheetData>
  <mergeCells count="27">
    <mergeCell ref="AJ4:AJ5"/>
    <mergeCell ref="AK4:AK5"/>
    <mergeCell ref="A2:C3"/>
    <mergeCell ref="L4:M4"/>
    <mergeCell ref="N4:R4"/>
    <mergeCell ref="S4:AB4"/>
    <mergeCell ref="AD4:AI4"/>
    <mergeCell ref="A15:AE1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AC4:AC5"/>
    <mergeCell ref="A1:AD1"/>
    <mergeCell ref="D2:T2"/>
    <mergeCell ref="V2:AB2"/>
    <mergeCell ref="AC2:AI2"/>
    <mergeCell ref="D3:T3"/>
    <mergeCell ref="V3:AB3"/>
    <mergeCell ref="AC3:AI3"/>
  </mergeCells>
  <dataValidations disablePrompts="1" count="1">
    <dataValidation type="list" allowBlank="1" showInputMessage="1" showErrorMessage="1" sqref="A2 A4:A6" xr:uid="{00000000-0002-0000-0300-000000000000}">
      <formula1>#REF!</formula1>
    </dataValidation>
  </dataValidations>
  <printOptions horizontalCentered="1" verticalCentered="1" gridLines="1"/>
  <pageMargins left="0.70866141732283505" right="0.70866141732283505" top="0.74803149606299202" bottom="0.74803149606299202" header="0.31496062992126" footer="0.31496062992126"/>
  <pageSetup paperSize="9" scale="48" fitToHeight="0" orientation="landscape"/>
  <headerFooter>
    <oddFooter>&amp;C&amp;1#&amp;"Calibri"&amp;9&amp;K000000 Internal</oddFooter>
  </headerFooter>
  <ignoredErrors>
    <ignoredError sqref="F7:F8 F9 AH7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7"/>
  <sheetViews>
    <sheetView zoomScale="110" zoomScaleNormal="110" workbookViewId="0">
      <selection activeCell="K69" sqref="K69"/>
    </sheetView>
  </sheetViews>
  <sheetFormatPr defaultColWidth="11.5546875" defaultRowHeight="13.2"/>
  <cols>
    <col min="1" max="3" width="11.5546875" style="47"/>
    <col min="4" max="4" width="11.5546875" style="47" customWidth="1"/>
    <col min="5" max="7" width="11.5546875" style="47"/>
    <col min="8" max="8" width="15.5546875" style="47" customWidth="1"/>
    <col min="9" max="9" width="14.109375" style="47" customWidth="1"/>
    <col min="10" max="259" width="11.5546875" style="47"/>
    <col min="260" max="260" width="11.5546875" style="47" customWidth="1"/>
    <col min="261" max="263" width="11.5546875" style="47"/>
    <col min="264" max="264" width="15.5546875" style="47" customWidth="1"/>
    <col min="265" max="265" width="14.109375" style="47" customWidth="1"/>
    <col min="266" max="515" width="11.5546875" style="47"/>
    <col min="516" max="516" width="11.5546875" style="47" customWidth="1"/>
    <col min="517" max="519" width="11.5546875" style="47"/>
    <col min="520" max="520" width="15.5546875" style="47" customWidth="1"/>
    <col min="521" max="521" width="14.109375" style="47" customWidth="1"/>
    <col min="522" max="771" width="11.5546875" style="47"/>
    <col min="772" max="772" width="11.5546875" style="47" customWidth="1"/>
    <col min="773" max="775" width="11.5546875" style="47"/>
    <col min="776" max="776" width="15.5546875" style="47" customWidth="1"/>
    <col min="777" max="777" width="14.109375" style="47" customWidth="1"/>
    <col min="778" max="1027" width="11.5546875" style="47"/>
    <col min="1028" max="1028" width="11.5546875" style="47" customWidth="1"/>
    <col min="1029" max="1031" width="11.5546875" style="47"/>
    <col min="1032" max="1032" width="15.5546875" style="47" customWidth="1"/>
    <col min="1033" max="1033" width="14.109375" style="47" customWidth="1"/>
    <col min="1034" max="1283" width="11.5546875" style="47"/>
    <col min="1284" max="1284" width="11.5546875" style="47" customWidth="1"/>
    <col min="1285" max="1287" width="11.5546875" style="47"/>
    <col min="1288" max="1288" width="15.5546875" style="47" customWidth="1"/>
    <col min="1289" max="1289" width="14.109375" style="47" customWidth="1"/>
    <col min="1290" max="1539" width="11.5546875" style="47"/>
    <col min="1540" max="1540" width="11.5546875" style="47" customWidth="1"/>
    <col min="1541" max="1543" width="11.5546875" style="47"/>
    <col min="1544" max="1544" width="15.5546875" style="47" customWidth="1"/>
    <col min="1545" max="1545" width="14.109375" style="47" customWidth="1"/>
    <col min="1546" max="1795" width="11.5546875" style="47"/>
    <col min="1796" max="1796" width="11.5546875" style="47" customWidth="1"/>
    <col min="1797" max="1799" width="11.5546875" style="47"/>
    <col min="1800" max="1800" width="15.5546875" style="47" customWidth="1"/>
    <col min="1801" max="1801" width="14.109375" style="47" customWidth="1"/>
    <col min="1802" max="2051" width="11.5546875" style="47"/>
    <col min="2052" max="2052" width="11.5546875" style="47" customWidth="1"/>
    <col min="2053" max="2055" width="11.5546875" style="47"/>
    <col min="2056" max="2056" width="15.5546875" style="47" customWidth="1"/>
    <col min="2057" max="2057" width="14.109375" style="47" customWidth="1"/>
    <col min="2058" max="2307" width="11.5546875" style="47"/>
    <col min="2308" max="2308" width="11.5546875" style="47" customWidth="1"/>
    <col min="2309" max="2311" width="11.5546875" style="47"/>
    <col min="2312" max="2312" width="15.5546875" style="47" customWidth="1"/>
    <col min="2313" max="2313" width="14.109375" style="47" customWidth="1"/>
    <col min="2314" max="2563" width="11.5546875" style="47"/>
    <col min="2564" max="2564" width="11.5546875" style="47" customWidth="1"/>
    <col min="2565" max="2567" width="11.5546875" style="47"/>
    <col min="2568" max="2568" width="15.5546875" style="47" customWidth="1"/>
    <col min="2569" max="2569" width="14.109375" style="47" customWidth="1"/>
    <col min="2570" max="2819" width="11.5546875" style="47"/>
    <col min="2820" max="2820" width="11.5546875" style="47" customWidth="1"/>
    <col min="2821" max="2823" width="11.5546875" style="47"/>
    <col min="2824" max="2824" width="15.5546875" style="47" customWidth="1"/>
    <col min="2825" max="2825" width="14.109375" style="47" customWidth="1"/>
    <col min="2826" max="3075" width="11.5546875" style="47"/>
    <col min="3076" max="3076" width="11.5546875" style="47" customWidth="1"/>
    <col min="3077" max="3079" width="11.5546875" style="47"/>
    <col min="3080" max="3080" width="15.5546875" style="47" customWidth="1"/>
    <col min="3081" max="3081" width="14.109375" style="47" customWidth="1"/>
    <col min="3082" max="3331" width="11.5546875" style="47"/>
    <col min="3332" max="3332" width="11.5546875" style="47" customWidth="1"/>
    <col min="3333" max="3335" width="11.5546875" style="47"/>
    <col min="3336" max="3336" width="15.5546875" style="47" customWidth="1"/>
    <col min="3337" max="3337" width="14.109375" style="47" customWidth="1"/>
    <col min="3338" max="3587" width="11.5546875" style="47"/>
    <col min="3588" max="3588" width="11.5546875" style="47" customWidth="1"/>
    <col min="3589" max="3591" width="11.5546875" style="47"/>
    <col min="3592" max="3592" width="15.5546875" style="47" customWidth="1"/>
    <col min="3593" max="3593" width="14.109375" style="47" customWidth="1"/>
    <col min="3594" max="3843" width="11.5546875" style="47"/>
    <col min="3844" max="3844" width="11.5546875" style="47" customWidth="1"/>
    <col min="3845" max="3847" width="11.5546875" style="47"/>
    <col min="3848" max="3848" width="15.5546875" style="47" customWidth="1"/>
    <col min="3849" max="3849" width="14.109375" style="47" customWidth="1"/>
    <col min="3850" max="4099" width="11.5546875" style="47"/>
    <col min="4100" max="4100" width="11.5546875" style="47" customWidth="1"/>
    <col min="4101" max="4103" width="11.5546875" style="47"/>
    <col min="4104" max="4104" width="15.5546875" style="47" customWidth="1"/>
    <col min="4105" max="4105" width="14.109375" style="47" customWidth="1"/>
    <col min="4106" max="4355" width="11.5546875" style="47"/>
    <col min="4356" max="4356" width="11.5546875" style="47" customWidth="1"/>
    <col min="4357" max="4359" width="11.5546875" style="47"/>
    <col min="4360" max="4360" width="15.5546875" style="47" customWidth="1"/>
    <col min="4361" max="4361" width="14.109375" style="47" customWidth="1"/>
    <col min="4362" max="4611" width="11.5546875" style="47"/>
    <col min="4612" max="4612" width="11.5546875" style="47" customWidth="1"/>
    <col min="4613" max="4615" width="11.5546875" style="47"/>
    <col min="4616" max="4616" width="15.5546875" style="47" customWidth="1"/>
    <col min="4617" max="4617" width="14.109375" style="47" customWidth="1"/>
    <col min="4618" max="4867" width="11.5546875" style="47"/>
    <col min="4868" max="4868" width="11.5546875" style="47" customWidth="1"/>
    <col min="4869" max="4871" width="11.5546875" style="47"/>
    <col min="4872" max="4872" width="15.5546875" style="47" customWidth="1"/>
    <col min="4873" max="4873" width="14.109375" style="47" customWidth="1"/>
    <col min="4874" max="5123" width="11.5546875" style="47"/>
    <col min="5124" max="5124" width="11.5546875" style="47" customWidth="1"/>
    <col min="5125" max="5127" width="11.5546875" style="47"/>
    <col min="5128" max="5128" width="15.5546875" style="47" customWidth="1"/>
    <col min="5129" max="5129" width="14.109375" style="47" customWidth="1"/>
    <col min="5130" max="5379" width="11.5546875" style="47"/>
    <col min="5380" max="5380" width="11.5546875" style="47" customWidth="1"/>
    <col min="5381" max="5383" width="11.5546875" style="47"/>
    <col min="5384" max="5384" width="15.5546875" style="47" customWidth="1"/>
    <col min="5385" max="5385" width="14.109375" style="47" customWidth="1"/>
    <col min="5386" max="5635" width="11.5546875" style="47"/>
    <col min="5636" max="5636" width="11.5546875" style="47" customWidth="1"/>
    <col min="5637" max="5639" width="11.5546875" style="47"/>
    <col min="5640" max="5640" width="15.5546875" style="47" customWidth="1"/>
    <col min="5641" max="5641" width="14.109375" style="47" customWidth="1"/>
    <col min="5642" max="5891" width="11.5546875" style="47"/>
    <col min="5892" max="5892" width="11.5546875" style="47" customWidth="1"/>
    <col min="5893" max="5895" width="11.5546875" style="47"/>
    <col min="5896" max="5896" width="15.5546875" style="47" customWidth="1"/>
    <col min="5897" max="5897" width="14.109375" style="47" customWidth="1"/>
    <col min="5898" max="6147" width="11.5546875" style="47"/>
    <col min="6148" max="6148" width="11.5546875" style="47" customWidth="1"/>
    <col min="6149" max="6151" width="11.5546875" style="47"/>
    <col min="6152" max="6152" width="15.5546875" style="47" customWidth="1"/>
    <col min="6153" max="6153" width="14.109375" style="47" customWidth="1"/>
    <col min="6154" max="6403" width="11.5546875" style="47"/>
    <col min="6404" max="6404" width="11.5546875" style="47" customWidth="1"/>
    <col min="6405" max="6407" width="11.5546875" style="47"/>
    <col min="6408" max="6408" width="15.5546875" style="47" customWidth="1"/>
    <col min="6409" max="6409" width="14.109375" style="47" customWidth="1"/>
    <col min="6410" max="6659" width="11.5546875" style="47"/>
    <col min="6660" max="6660" width="11.5546875" style="47" customWidth="1"/>
    <col min="6661" max="6663" width="11.5546875" style="47"/>
    <col min="6664" max="6664" width="15.5546875" style="47" customWidth="1"/>
    <col min="6665" max="6665" width="14.109375" style="47" customWidth="1"/>
    <col min="6666" max="6915" width="11.5546875" style="47"/>
    <col min="6916" max="6916" width="11.5546875" style="47" customWidth="1"/>
    <col min="6917" max="6919" width="11.5546875" style="47"/>
    <col min="6920" max="6920" width="15.5546875" style="47" customWidth="1"/>
    <col min="6921" max="6921" width="14.109375" style="47" customWidth="1"/>
    <col min="6922" max="7171" width="11.5546875" style="47"/>
    <col min="7172" max="7172" width="11.5546875" style="47" customWidth="1"/>
    <col min="7173" max="7175" width="11.5546875" style="47"/>
    <col min="7176" max="7176" width="15.5546875" style="47" customWidth="1"/>
    <col min="7177" max="7177" width="14.109375" style="47" customWidth="1"/>
    <col min="7178" max="7427" width="11.5546875" style="47"/>
    <col min="7428" max="7428" width="11.5546875" style="47" customWidth="1"/>
    <col min="7429" max="7431" width="11.5546875" style="47"/>
    <col min="7432" max="7432" width="15.5546875" style="47" customWidth="1"/>
    <col min="7433" max="7433" width="14.109375" style="47" customWidth="1"/>
    <col min="7434" max="7683" width="11.5546875" style="47"/>
    <col min="7684" max="7684" width="11.5546875" style="47" customWidth="1"/>
    <col min="7685" max="7687" width="11.5546875" style="47"/>
    <col min="7688" max="7688" width="15.5546875" style="47" customWidth="1"/>
    <col min="7689" max="7689" width="14.109375" style="47" customWidth="1"/>
    <col min="7690" max="7939" width="11.5546875" style="47"/>
    <col min="7940" max="7940" width="11.5546875" style="47" customWidth="1"/>
    <col min="7941" max="7943" width="11.5546875" style="47"/>
    <col min="7944" max="7944" width="15.5546875" style="47" customWidth="1"/>
    <col min="7945" max="7945" width="14.109375" style="47" customWidth="1"/>
    <col min="7946" max="8195" width="11.5546875" style="47"/>
    <col min="8196" max="8196" width="11.5546875" style="47" customWidth="1"/>
    <col min="8197" max="8199" width="11.5546875" style="47"/>
    <col min="8200" max="8200" width="15.5546875" style="47" customWidth="1"/>
    <col min="8201" max="8201" width="14.109375" style="47" customWidth="1"/>
    <col min="8202" max="8451" width="11.5546875" style="47"/>
    <col min="8452" max="8452" width="11.5546875" style="47" customWidth="1"/>
    <col min="8453" max="8455" width="11.5546875" style="47"/>
    <col min="8456" max="8456" width="15.5546875" style="47" customWidth="1"/>
    <col min="8457" max="8457" width="14.109375" style="47" customWidth="1"/>
    <col min="8458" max="8707" width="11.5546875" style="47"/>
    <col min="8708" max="8708" width="11.5546875" style="47" customWidth="1"/>
    <col min="8709" max="8711" width="11.5546875" style="47"/>
    <col min="8712" max="8712" width="15.5546875" style="47" customWidth="1"/>
    <col min="8713" max="8713" width="14.109375" style="47" customWidth="1"/>
    <col min="8714" max="8963" width="11.5546875" style="47"/>
    <col min="8964" max="8964" width="11.5546875" style="47" customWidth="1"/>
    <col min="8965" max="8967" width="11.5546875" style="47"/>
    <col min="8968" max="8968" width="15.5546875" style="47" customWidth="1"/>
    <col min="8969" max="8969" width="14.109375" style="47" customWidth="1"/>
    <col min="8970" max="9219" width="11.5546875" style="47"/>
    <col min="9220" max="9220" width="11.5546875" style="47" customWidth="1"/>
    <col min="9221" max="9223" width="11.5546875" style="47"/>
    <col min="9224" max="9224" width="15.5546875" style="47" customWidth="1"/>
    <col min="9225" max="9225" width="14.109375" style="47" customWidth="1"/>
    <col min="9226" max="9475" width="11.5546875" style="47"/>
    <col min="9476" max="9476" width="11.5546875" style="47" customWidth="1"/>
    <col min="9477" max="9479" width="11.5546875" style="47"/>
    <col min="9480" max="9480" width="15.5546875" style="47" customWidth="1"/>
    <col min="9481" max="9481" width="14.109375" style="47" customWidth="1"/>
    <col min="9482" max="9731" width="11.5546875" style="47"/>
    <col min="9732" max="9732" width="11.5546875" style="47" customWidth="1"/>
    <col min="9733" max="9735" width="11.5546875" style="47"/>
    <col min="9736" max="9736" width="15.5546875" style="47" customWidth="1"/>
    <col min="9737" max="9737" width="14.109375" style="47" customWidth="1"/>
    <col min="9738" max="9987" width="11.5546875" style="47"/>
    <col min="9988" max="9988" width="11.5546875" style="47" customWidth="1"/>
    <col min="9989" max="9991" width="11.5546875" style="47"/>
    <col min="9992" max="9992" width="15.5546875" style="47" customWidth="1"/>
    <col min="9993" max="9993" width="14.109375" style="47" customWidth="1"/>
    <col min="9994" max="10243" width="11.5546875" style="47"/>
    <col min="10244" max="10244" width="11.5546875" style="47" customWidth="1"/>
    <col min="10245" max="10247" width="11.5546875" style="47"/>
    <col min="10248" max="10248" width="15.5546875" style="47" customWidth="1"/>
    <col min="10249" max="10249" width="14.109375" style="47" customWidth="1"/>
    <col min="10250" max="10499" width="11.5546875" style="47"/>
    <col min="10500" max="10500" width="11.5546875" style="47" customWidth="1"/>
    <col min="10501" max="10503" width="11.5546875" style="47"/>
    <col min="10504" max="10504" width="15.5546875" style="47" customWidth="1"/>
    <col min="10505" max="10505" width="14.109375" style="47" customWidth="1"/>
    <col min="10506" max="10755" width="11.5546875" style="47"/>
    <col min="10756" max="10756" width="11.5546875" style="47" customWidth="1"/>
    <col min="10757" max="10759" width="11.5546875" style="47"/>
    <col min="10760" max="10760" width="15.5546875" style="47" customWidth="1"/>
    <col min="10761" max="10761" width="14.109375" style="47" customWidth="1"/>
    <col min="10762" max="11011" width="11.5546875" style="47"/>
    <col min="11012" max="11012" width="11.5546875" style="47" customWidth="1"/>
    <col min="11013" max="11015" width="11.5546875" style="47"/>
    <col min="11016" max="11016" width="15.5546875" style="47" customWidth="1"/>
    <col min="11017" max="11017" width="14.109375" style="47" customWidth="1"/>
    <col min="11018" max="11267" width="11.5546875" style="47"/>
    <col min="11268" max="11268" width="11.5546875" style="47" customWidth="1"/>
    <col min="11269" max="11271" width="11.5546875" style="47"/>
    <col min="11272" max="11272" width="15.5546875" style="47" customWidth="1"/>
    <col min="11273" max="11273" width="14.109375" style="47" customWidth="1"/>
    <col min="11274" max="11523" width="11.5546875" style="47"/>
    <col min="11524" max="11524" width="11.5546875" style="47" customWidth="1"/>
    <col min="11525" max="11527" width="11.5546875" style="47"/>
    <col min="11528" max="11528" width="15.5546875" style="47" customWidth="1"/>
    <col min="11529" max="11529" width="14.109375" style="47" customWidth="1"/>
    <col min="11530" max="11779" width="11.5546875" style="47"/>
    <col min="11780" max="11780" width="11.5546875" style="47" customWidth="1"/>
    <col min="11781" max="11783" width="11.5546875" style="47"/>
    <col min="11784" max="11784" width="15.5546875" style="47" customWidth="1"/>
    <col min="11785" max="11785" width="14.109375" style="47" customWidth="1"/>
    <col min="11786" max="12035" width="11.5546875" style="47"/>
    <col min="12036" max="12036" width="11.5546875" style="47" customWidth="1"/>
    <col min="12037" max="12039" width="11.5546875" style="47"/>
    <col min="12040" max="12040" width="15.5546875" style="47" customWidth="1"/>
    <col min="12041" max="12041" width="14.109375" style="47" customWidth="1"/>
    <col min="12042" max="12291" width="11.5546875" style="47"/>
    <col min="12292" max="12292" width="11.5546875" style="47" customWidth="1"/>
    <col min="12293" max="12295" width="11.5546875" style="47"/>
    <col min="12296" max="12296" width="15.5546875" style="47" customWidth="1"/>
    <col min="12297" max="12297" width="14.109375" style="47" customWidth="1"/>
    <col min="12298" max="12547" width="11.5546875" style="47"/>
    <col min="12548" max="12548" width="11.5546875" style="47" customWidth="1"/>
    <col min="12549" max="12551" width="11.5546875" style="47"/>
    <col min="12552" max="12552" width="15.5546875" style="47" customWidth="1"/>
    <col min="12553" max="12553" width="14.109375" style="47" customWidth="1"/>
    <col min="12554" max="12803" width="11.5546875" style="47"/>
    <col min="12804" max="12804" width="11.5546875" style="47" customWidth="1"/>
    <col min="12805" max="12807" width="11.5546875" style="47"/>
    <col min="12808" max="12808" width="15.5546875" style="47" customWidth="1"/>
    <col min="12809" max="12809" width="14.109375" style="47" customWidth="1"/>
    <col min="12810" max="13059" width="11.5546875" style="47"/>
    <col min="13060" max="13060" width="11.5546875" style="47" customWidth="1"/>
    <col min="13061" max="13063" width="11.5546875" style="47"/>
    <col min="13064" max="13064" width="15.5546875" style="47" customWidth="1"/>
    <col min="13065" max="13065" width="14.109375" style="47" customWidth="1"/>
    <col min="13066" max="13315" width="11.5546875" style="47"/>
    <col min="13316" max="13316" width="11.5546875" style="47" customWidth="1"/>
    <col min="13317" max="13319" width="11.5546875" style="47"/>
    <col min="13320" max="13320" width="15.5546875" style="47" customWidth="1"/>
    <col min="13321" max="13321" width="14.109375" style="47" customWidth="1"/>
    <col min="13322" max="13571" width="11.5546875" style="47"/>
    <col min="13572" max="13572" width="11.5546875" style="47" customWidth="1"/>
    <col min="13573" max="13575" width="11.5546875" style="47"/>
    <col min="13576" max="13576" width="15.5546875" style="47" customWidth="1"/>
    <col min="13577" max="13577" width="14.109375" style="47" customWidth="1"/>
    <col min="13578" max="13827" width="11.5546875" style="47"/>
    <col min="13828" max="13828" width="11.5546875" style="47" customWidth="1"/>
    <col min="13829" max="13831" width="11.5546875" style="47"/>
    <col min="13832" max="13832" width="15.5546875" style="47" customWidth="1"/>
    <col min="13833" max="13833" width="14.109375" style="47" customWidth="1"/>
    <col min="13834" max="14083" width="11.5546875" style="47"/>
    <col min="14084" max="14084" width="11.5546875" style="47" customWidth="1"/>
    <col min="14085" max="14087" width="11.5546875" style="47"/>
    <col min="14088" max="14088" width="15.5546875" style="47" customWidth="1"/>
    <col min="14089" max="14089" width="14.109375" style="47" customWidth="1"/>
    <col min="14090" max="14339" width="11.5546875" style="47"/>
    <col min="14340" max="14340" width="11.5546875" style="47" customWidth="1"/>
    <col min="14341" max="14343" width="11.5546875" style="47"/>
    <col min="14344" max="14344" width="15.5546875" style="47" customWidth="1"/>
    <col min="14345" max="14345" width="14.109375" style="47" customWidth="1"/>
    <col min="14346" max="14595" width="11.5546875" style="47"/>
    <col min="14596" max="14596" width="11.5546875" style="47" customWidth="1"/>
    <col min="14597" max="14599" width="11.5546875" style="47"/>
    <col min="14600" max="14600" width="15.5546875" style="47" customWidth="1"/>
    <col min="14601" max="14601" width="14.109375" style="47" customWidth="1"/>
    <col min="14602" max="14851" width="11.5546875" style="47"/>
    <col min="14852" max="14852" width="11.5546875" style="47" customWidth="1"/>
    <col min="14853" max="14855" width="11.5546875" style="47"/>
    <col min="14856" max="14856" width="15.5546875" style="47" customWidth="1"/>
    <col min="14857" max="14857" width="14.109375" style="47" customWidth="1"/>
    <col min="14858" max="15107" width="11.5546875" style="47"/>
    <col min="15108" max="15108" width="11.5546875" style="47" customWidth="1"/>
    <col min="15109" max="15111" width="11.5546875" style="47"/>
    <col min="15112" max="15112" width="15.5546875" style="47" customWidth="1"/>
    <col min="15113" max="15113" width="14.109375" style="47" customWidth="1"/>
    <col min="15114" max="15363" width="11.5546875" style="47"/>
    <col min="15364" max="15364" width="11.5546875" style="47" customWidth="1"/>
    <col min="15365" max="15367" width="11.5546875" style="47"/>
    <col min="15368" max="15368" width="15.5546875" style="47" customWidth="1"/>
    <col min="15369" max="15369" width="14.109375" style="47" customWidth="1"/>
    <col min="15370" max="15619" width="11.5546875" style="47"/>
    <col min="15620" max="15620" width="11.5546875" style="47" customWidth="1"/>
    <col min="15621" max="15623" width="11.5546875" style="47"/>
    <col min="15624" max="15624" width="15.5546875" style="47" customWidth="1"/>
    <col min="15625" max="15625" width="14.109375" style="47" customWidth="1"/>
    <col min="15626" max="15875" width="11.5546875" style="47"/>
    <col min="15876" max="15876" width="11.5546875" style="47" customWidth="1"/>
    <col min="15877" max="15879" width="11.5546875" style="47"/>
    <col min="15880" max="15880" width="15.5546875" style="47" customWidth="1"/>
    <col min="15881" max="15881" width="14.109375" style="47" customWidth="1"/>
    <col min="15882" max="16131" width="11.5546875" style="47"/>
    <col min="16132" max="16132" width="11.5546875" style="47" customWidth="1"/>
    <col min="16133" max="16135" width="11.5546875" style="47"/>
    <col min="16136" max="16136" width="15.5546875" style="47" customWidth="1"/>
    <col min="16137" max="16137" width="14.109375" style="47" customWidth="1"/>
    <col min="16138" max="16384" width="11.5546875" style="47"/>
  </cols>
  <sheetData>
    <row r="1" spans="1:12" ht="13.8">
      <c r="A1" s="48"/>
      <c r="B1" s="49"/>
      <c r="C1" s="49"/>
      <c r="D1" s="49"/>
      <c r="E1" s="49"/>
      <c r="F1" s="49"/>
      <c r="G1" s="49"/>
      <c r="H1" s="49"/>
      <c r="I1" s="49"/>
      <c r="J1" s="49"/>
    </row>
    <row r="2" spans="1:12" ht="15.6">
      <c r="A2" s="48"/>
      <c r="B2" s="296" t="s">
        <v>117</v>
      </c>
      <c r="C2" s="297"/>
      <c r="D2" s="297"/>
      <c r="E2" s="297"/>
      <c r="F2" s="297"/>
      <c r="G2" s="297"/>
      <c r="H2" s="298"/>
      <c r="I2" s="88"/>
      <c r="J2" s="49"/>
    </row>
    <row r="3" spans="1:12" ht="13.8">
      <c r="A3" s="48"/>
      <c r="B3" s="299" t="s">
        <v>118</v>
      </c>
      <c r="C3" s="300"/>
      <c r="D3" s="300"/>
      <c r="E3" s="300"/>
      <c r="F3" s="300"/>
      <c r="G3" s="300"/>
      <c r="H3" s="301"/>
      <c r="I3" s="49"/>
      <c r="J3" s="49"/>
    </row>
    <row r="4" spans="1:12" ht="13.8">
      <c r="A4" s="48"/>
      <c r="B4" s="50"/>
      <c r="C4" s="51"/>
      <c r="D4" s="51"/>
      <c r="E4" s="51"/>
      <c r="F4" s="51"/>
      <c r="G4" s="51"/>
      <c r="H4" s="52"/>
      <c r="I4" s="49"/>
      <c r="J4" s="49"/>
    </row>
    <row r="5" spans="1:12" ht="18.600000000000001">
      <c r="A5" s="48"/>
      <c r="B5" s="53"/>
      <c r="C5" s="302" t="s">
        <v>119</v>
      </c>
      <c r="D5" s="302"/>
      <c r="E5" s="302"/>
      <c r="F5" s="302"/>
      <c r="G5" s="302"/>
      <c r="H5" s="215" t="s">
        <v>289</v>
      </c>
      <c r="I5" s="49"/>
      <c r="J5" s="49"/>
    </row>
    <row r="6" spans="1:12" ht="13.8">
      <c r="A6" s="48"/>
      <c r="B6" s="53"/>
      <c r="C6" s="49"/>
      <c r="D6" s="49"/>
      <c r="E6" s="49"/>
      <c r="F6" s="49"/>
      <c r="G6" s="49"/>
      <c r="H6" s="55"/>
      <c r="I6" s="49"/>
      <c r="J6" s="49"/>
    </row>
    <row r="7" spans="1:12" ht="13.8">
      <c r="A7" s="48"/>
      <c r="B7" s="299" t="s">
        <v>120</v>
      </c>
      <c r="C7" s="300"/>
      <c r="D7" s="300"/>
      <c r="E7" s="321" t="s">
        <v>6</v>
      </c>
      <c r="F7" s="322"/>
      <c r="G7" s="322"/>
      <c r="H7" s="323"/>
      <c r="I7" s="60"/>
      <c r="J7" s="92"/>
    </row>
    <row r="8" spans="1:12" ht="13.8">
      <c r="A8" s="48"/>
      <c r="B8" s="56"/>
      <c r="C8" s="57"/>
      <c r="D8" s="51"/>
      <c r="E8" s="322"/>
      <c r="F8" s="322"/>
      <c r="G8" s="322"/>
      <c r="H8" s="323"/>
      <c r="I8" s="60"/>
      <c r="J8" s="92"/>
    </row>
    <row r="9" spans="1:12" ht="13.8">
      <c r="A9" s="48"/>
      <c r="B9" s="56"/>
      <c r="C9" s="57"/>
      <c r="D9" s="51"/>
      <c r="E9" s="322"/>
      <c r="F9" s="322"/>
      <c r="G9" s="322"/>
      <c r="H9" s="323"/>
      <c r="I9" s="93"/>
      <c r="J9" s="92"/>
    </row>
    <row r="10" spans="1:12" ht="13.8">
      <c r="A10" s="48"/>
      <c r="B10" s="58" t="s">
        <v>121</v>
      </c>
      <c r="C10" s="57"/>
      <c r="D10" s="303" t="s">
        <v>122</v>
      </c>
      <c r="E10" s="303"/>
      <c r="F10" s="303"/>
      <c r="G10" s="57"/>
      <c r="H10" s="54"/>
      <c r="I10" s="51"/>
      <c r="J10" s="92"/>
    </row>
    <row r="11" spans="1:12" ht="15.6">
      <c r="A11" s="48"/>
      <c r="B11" s="59" t="s">
        <v>123</v>
      </c>
      <c r="C11" s="60"/>
      <c r="D11" s="61" t="s">
        <v>59</v>
      </c>
      <c r="E11" s="60"/>
      <c r="F11" s="60" t="s">
        <v>124</v>
      </c>
      <c r="G11" s="60"/>
      <c r="H11" s="62" t="s">
        <v>58</v>
      </c>
      <c r="I11" s="51"/>
      <c r="J11" s="92"/>
    </row>
    <row r="12" spans="1:12" ht="13.8">
      <c r="A12" s="48"/>
      <c r="B12" s="56" t="s">
        <v>125</v>
      </c>
      <c r="C12" s="63"/>
      <c r="D12" s="64" t="s">
        <v>60</v>
      </c>
      <c r="E12" s="63"/>
      <c r="F12" s="306" t="s">
        <v>290</v>
      </c>
      <c r="G12" s="307"/>
      <c r="H12" s="308"/>
      <c r="I12" s="51"/>
      <c r="J12" s="92"/>
    </row>
    <row r="13" spans="1:12" ht="13.8">
      <c r="A13" s="48"/>
      <c r="B13" s="56"/>
      <c r="C13" s="63"/>
      <c r="D13" s="63"/>
      <c r="E13" s="63"/>
      <c r="F13" s="307"/>
      <c r="G13" s="307"/>
      <c r="H13" s="65"/>
      <c r="I13" s="51"/>
      <c r="J13" s="92"/>
    </row>
    <row r="14" spans="1:12" ht="13.8">
      <c r="A14" s="48"/>
      <c r="B14" s="309" t="s">
        <v>126</v>
      </c>
      <c r="C14" s="310"/>
      <c r="D14" s="310"/>
      <c r="E14" s="310"/>
      <c r="F14" s="310"/>
      <c r="G14" s="310"/>
      <c r="H14" s="311"/>
      <c r="I14" s="51"/>
      <c r="J14" s="92"/>
    </row>
    <row r="15" spans="1:12" ht="13.8">
      <c r="A15" s="48"/>
      <c r="B15" s="312" t="s">
        <v>127</v>
      </c>
      <c r="C15" s="313"/>
      <c r="D15" s="66" t="s">
        <v>128</v>
      </c>
      <c r="E15" s="67"/>
      <c r="F15" s="314" t="str">
        <f>B15</f>
        <v>Particulars</v>
      </c>
      <c r="G15" s="315"/>
      <c r="H15" s="66" t="s">
        <v>128</v>
      </c>
      <c r="I15" s="67"/>
      <c r="J15" s="94"/>
    </row>
    <row r="16" spans="1:12" ht="13.8">
      <c r="A16" s="48"/>
      <c r="B16" s="304" t="s">
        <v>129</v>
      </c>
      <c r="C16" s="304"/>
      <c r="D16" s="69">
        <f>'Form XXVII Register of Wages'!S7</f>
        <v>4728</v>
      </c>
      <c r="E16" s="70"/>
      <c r="F16" s="71"/>
      <c r="G16" s="72" t="s">
        <v>130</v>
      </c>
      <c r="H16" s="73">
        <f>D26</f>
        <v>13159</v>
      </c>
      <c r="I16" s="95"/>
      <c r="J16" s="305"/>
      <c r="K16" s="305"/>
      <c r="L16" s="96"/>
    </row>
    <row r="17" spans="1:12" ht="13.8">
      <c r="A17" s="48"/>
      <c r="B17" s="304" t="s">
        <v>131</v>
      </c>
      <c r="C17" s="304"/>
      <c r="D17" s="69">
        <f>'Form XXVII Register of Wages'!T7</f>
        <v>5091</v>
      </c>
      <c r="E17" s="70"/>
      <c r="F17" s="74" t="s">
        <v>132</v>
      </c>
      <c r="G17" s="75" t="s">
        <v>128</v>
      </c>
      <c r="H17" s="76"/>
      <c r="I17" s="67"/>
      <c r="J17" s="305"/>
      <c r="K17" s="305"/>
      <c r="L17" s="96"/>
    </row>
    <row r="18" spans="1:12" ht="13.8">
      <c r="A18" s="48"/>
      <c r="B18" s="304" t="s">
        <v>133</v>
      </c>
      <c r="C18" s="304"/>
      <c r="D18" s="69">
        <f>'Form XXVII Register of Wages'!U7</f>
        <v>3340</v>
      </c>
      <c r="E18" s="70"/>
      <c r="F18" s="68" t="s">
        <v>134</v>
      </c>
      <c r="G18" s="69">
        <f>'Form XXVII Register of Wages'!AD7</f>
        <v>1179</v>
      </c>
      <c r="H18" s="68"/>
      <c r="I18" s="97"/>
      <c r="J18" s="305"/>
      <c r="K18" s="305"/>
      <c r="L18" s="96"/>
    </row>
    <row r="19" spans="1:12" ht="13.8">
      <c r="A19" s="48"/>
      <c r="B19" s="316" t="s">
        <v>135</v>
      </c>
      <c r="C19" s="317"/>
      <c r="D19" s="69" t="s">
        <v>61</v>
      </c>
      <c r="E19" s="70"/>
      <c r="F19" s="68" t="s">
        <v>136</v>
      </c>
      <c r="G19" s="69">
        <f>'Form XXVII Register of Wages'!AE7</f>
        <v>99</v>
      </c>
      <c r="H19" s="68"/>
      <c r="I19" s="97"/>
      <c r="J19" s="93"/>
      <c r="K19" s="93"/>
      <c r="L19" s="96"/>
    </row>
    <row r="20" spans="1:12" ht="13.8">
      <c r="A20" s="48"/>
      <c r="B20" s="316" t="s">
        <v>137</v>
      </c>
      <c r="C20" s="317"/>
      <c r="D20" s="69" t="s">
        <v>61</v>
      </c>
      <c r="E20" s="70"/>
      <c r="F20" s="68" t="s">
        <v>138</v>
      </c>
      <c r="G20" s="79" t="s">
        <v>61</v>
      </c>
      <c r="H20" s="68"/>
      <c r="I20" s="97"/>
      <c r="J20" s="93"/>
      <c r="K20" s="93"/>
      <c r="L20" s="96"/>
    </row>
    <row r="21" spans="1:12" ht="13.8">
      <c r="A21" s="48"/>
      <c r="B21" s="316" t="s">
        <v>139</v>
      </c>
      <c r="C21" s="317"/>
      <c r="D21" s="69" t="s">
        <v>61</v>
      </c>
      <c r="E21" s="70"/>
      <c r="F21" s="68" t="s">
        <v>140</v>
      </c>
      <c r="G21" s="79">
        <f>'Form XXVII Register of Wages'!AG7</f>
        <v>0</v>
      </c>
      <c r="H21" s="80"/>
      <c r="I21" s="97"/>
      <c r="J21" s="305"/>
      <c r="K21" s="305"/>
      <c r="L21" s="96"/>
    </row>
    <row r="22" spans="1:12" ht="13.8">
      <c r="A22" s="48"/>
      <c r="B22" s="316" t="s">
        <v>141</v>
      </c>
      <c r="C22" s="317"/>
      <c r="D22" s="69" t="s">
        <v>61</v>
      </c>
      <c r="E22" s="70"/>
      <c r="F22" s="68" t="s">
        <v>142</v>
      </c>
      <c r="G22" s="79" t="s">
        <v>61</v>
      </c>
      <c r="H22" s="81"/>
      <c r="I22" s="67"/>
      <c r="J22" s="305"/>
      <c r="K22" s="305"/>
      <c r="L22" s="96"/>
    </row>
    <row r="23" spans="1:12" ht="13.8">
      <c r="A23" s="48"/>
      <c r="B23" s="77" t="s">
        <v>143</v>
      </c>
      <c r="C23" s="78"/>
      <c r="D23" s="69">
        <f>'Form XXVII Register of Wages'!X7</f>
        <v>0</v>
      </c>
      <c r="E23" s="70"/>
      <c r="F23" s="68" t="s">
        <v>144</v>
      </c>
      <c r="G23" s="79" t="s">
        <v>61</v>
      </c>
      <c r="H23" s="81"/>
      <c r="I23" s="67"/>
      <c r="J23" s="93"/>
      <c r="K23" s="93"/>
      <c r="L23" s="96"/>
    </row>
    <row r="24" spans="1:12" ht="13.8">
      <c r="A24" s="48"/>
      <c r="B24" s="304" t="s">
        <v>145</v>
      </c>
      <c r="C24" s="304"/>
      <c r="D24" s="69">
        <f>+'Form XXVII Register of Wages'!Y7</f>
        <v>0</v>
      </c>
      <c r="F24" s="74" t="s">
        <v>146</v>
      </c>
      <c r="G24" s="69">
        <f>SUM(G18:G23)</f>
        <v>1278</v>
      </c>
      <c r="H24" s="73">
        <f>G24</f>
        <v>1278</v>
      </c>
      <c r="I24" s="98"/>
      <c r="J24" s="305"/>
      <c r="K24" s="305"/>
      <c r="L24" s="96"/>
    </row>
    <row r="25" spans="1:12" ht="13.8">
      <c r="A25" s="48"/>
      <c r="B25" s="316" t="s">
        <v>147</v>
      </c>
      <c r="C25" s="317"/>
      <c r="D25" s="69" t="s">
        <v>61</v>
      </c>
      <c r="F25" s="74"/>
      <c r="G25" s="82"/>
      <c r="H25" s="76"/>
      <c r="I25" s="98"/>
      <c r="J25" s="305"/>
      <c r="K25" s="305"/>
      <c r="L25" s="96"/>
    </row>
    <row r="26" spans="1:12" ht="13.8">
      <c r="A26" s="48"/>
      <c r="B26" s="318" t="s">
        <v>148</v>
      </c>
      <c r="C26" s="319"/>
      <c r="D26" s="73">
        <f>SUM(D16:D25)</f>
        <v>13159</v>
      </c>
      <c r="E26" s="70"/>
      <c r="F26" s="80"/>
      <c r="G26" s="74" t="s">
        <v>149</v>
      </c>
      <c r="H26" s="73">
        <f>D26-G24</f>
        <v>11881</v>
      </c>
      <c r="I26" s="98"/>
      <c r="J26" s="92"/>
    </row>
    <row r="27" spans="1:12" ht="13.8">
      <c r="A27" s="48"/>
      <c r="B27" s="83"/>
      <c r="H27" s="84"/>
      <c r="J27" s="49"/>
    </row>
    <row r="28" spans="1:12" ht="13.8">
      <c r="A28" s="48"/>
      <c r="B28" s="83"/>
      <c r="H28" s="84"/>
      <c r="J28" s="49"/>
    </row>
    <row r="29" spans="1:12" ht="13.8">
      <c r="A29" s="48"/>
      <c r="B29" s="83"/>
      <c r="H29" s="84"/>
      <c r="J29" s="49"/>
    </row>
    <row r="30" spans="1:12" ht="13.8">
      <c r="A30" s="48"/>
      <c r="B30" s="83"/>
      <c r="H30" s="84"/>
      <c r="J30" s="49"/>
    </row>
    <row r="31" spans="1:12" ht="13.8">
      <c r="A31" s="48"/>
      <c r="B31" s="83"/>
      <c r="H31" s="84"/>
      <c r="J31" s="49"/>
    </row>
    <row r="32" spans="1:12" ht="13.8">
      <c r="A32" s="48"/>
      <c r="B32" s="85" t="s">
        <v>150</v>
      </c>
      <c r="C32" s="86"/>
      <c r="D32" s="86"/>
      <c r="E32" s="86"/>
      <c r="F32" s="86" t="s">
        <v>151</v>
      </c>
      <c r="G32" s="86"/>
      <c r="H32" s="87"/>
      <c r="I32" s="99"/>
      <c r="J32" s="49"/>
    </row>
    <row r="33" spans="1:10" ht="13.8">
      <c r="A33" s="48"/>
      <c r="J33" s="49"/>
    </row>
    <row r="34" spans="1:10" ht="13.8">
      <c r="A34" s="48"/>
      <c r="J34" s="49"/>
    </row>
    <row r="35" spans="1:10" ht="15.6">
      <c r="A35" s="48"/>
      <c r="B35" s="320"/>
      <c r="C35" s="320"/>
      <c r="D35" s="320"/>
      <c r="E35" s="320"/>
      <c r="F35" s="320"/>
      <c r="G35" s="320"/>
      <c r="H35" s="320"/>
      <c r="I35" s="88"/>
      <c r="J35" s="49"/>
    </row>
    <row r="36" spans="1:10" ht="13.8">
      <c r="A36" s="48"/>
      <c r="B36" s="49"/>
      <c r="C36" s="49"/>
      <c r="D36" s="49"/>
      <c r="E36" s="49"/>
      <c r="F36" s="49"/>
      <c r="G36" s="49"/>
      <c r="H36" s="89"/>
      <c r="I36" s="49"/>
      <c r="J36" s="49"/>
    </row>
    <row r="37" spans="1:10" ht="15.6">
      <c r="A37" s="48"/>
      <c r="B37" s="296" t="s">
        <v>117</v>
      </c>
      <c r="C37" s="297"/>
      <c r="D37" s="297"/>
      <c r="E37" s="297"/>
      <c r="F37" s="297"/>
      <c r="G37" s="297"/>
      <c r="H37" s="298"/>
      <c r="I37" s="60"/>
      <c r="J37" s="92"/>
    </row>
    <row r="38" spans="1:10" ht="14.25" customHeight="1">
      <c r="A38" s="48"/>
      <c r="B38" s="299" t="s">
        <v>118</v>
      </c>
      <c r="C38" s="300"/>
      <c r="D38" s="300"/>
      <c r="E38" s="300"/>
      <c r="F38" s="300"/>
      <c r="G38" s="300"/>
      <c r="H38" s="301"/>
      <c r="I38" s="60"/>
      <c r="J38" s="92"/>
    </row>
    <row r="39" spans="1:10" ht="13.8">
      <c r="A39" s="48"/>
      <c r="B39" s="50"/>
      <c r="C39" s="51"/>
      <c r="D39" s="51"/>
      <c r="E39" s="51"/>
      <c r="F39" s="51"/>
      <c r="G39" s="51"/>
      <c r="H39" s="52"/>
      <c r="I39" s="93"/>
      <c r="J39" s="92"/>
    </row>
    <row r="40" spans="1:10" ht="18.600000000000001">
      <c r="A40" s="48"/>
      <c r="B40" s="53"/>
      <c r="C40" s="302" t="s">
        <v>119</v>
      </c>
      <c r="D40" s="302"/>
      <c r="E40" s="302"/>
      <c r="F40" s="302"/>
      <c r="G40" s="302"/>
      <c r="H40" s="54" t="str">
        <f>+H5</f>
        <v>Date: 05.05.2026</v>
      </c>
      <c r="I40" s="51"/>
      <c r="J40" s="92"/>
    </row>
    <row r="41" spans="1:10" ht="13.8">
      <c r="A41" s="48"/>
      <c r="B41" s="53"/>
      <c r="C41" s="49"/>
      <c r="D41" s="49"/>
      <c r="E41" s="49"/>
      <c r="F41" s="49"/>
      <c r="G41" s="49"/>
      <c r="H41" s="55"/>
      <c r="I41" s="51"/>
      <c r="J41" s="92"/>
    </row>
    <row r="42" spans="1:10" ht="14.1" customHeight="1">
      <c r="A42" s="48"/>
      <c r="B42" s="299" t="s">
        <v>120</v>
      </c>
      <c r="C42" s="300"/>
      <c r="D42" s="300"/>
      <c r="E42" s="321" t="s">
        <v>6</v>
      </c>
      <c r="F42" s="322"/>
      <c r="G42" s="322"/>
      <c r="H42" s="323"/>
      <c r="I42" s="51"/>
      <c r="J42" s="92"/>
    </row>
    <row r="43" spans="1:10" ht="13.8">
      <c r="A43" s="48"/>
      <c r="B43" s="56"/>
      <c r="C43" s="57"/>
      <c r="D43" s="51"/>
      <c r="E43" s="322"/>
      <c r="F43" s="322"/>
      <c r="G43" s="322"/>
      <c r="H43" s="323"/>
      <c r="I43" s="51"/>
      <c r="J43" s="92"/>
    </row>
    <row r="44" spans="1:10" ht="13.8">
      <c r="A44" s="48"/>
      <c r="B44" s="56"/>
      <c r="C44" s="57"/>
      <c r="D44" s="51"/>
      <c r="E44" s="322"/>
      <c r="F44" s="322"/>
      <c r="G44" s="322"/>
      <c r="H44" s="323"/>
      <c r="I44" s="51"/>
      <c r="J44" s="92"/>
    </row>
    <row r="45" spans="1:10" ht="13.8">
      <c r="A45" s="48"/>
      <c r="B45" s="58" t="s">
        <v>121</v>
      </c>
      <c r="C45" s="57"/>
      <c r="D45" s="303" t="s">
        <v>152</v>
      </c>
      <c r="E45" s="303"/>
      <c r="F45" s="303"/>
      <c r="G45" s="57"/>
      <c r="H45" s="54"/>
      <c r="I45" s="67"/>
      <c r="J45" s="94"/>
    </row>
    <row r="46" spans="1:10" ht="13.8">
      <c r="A46" s="48"/>
      <c r="B46" s="59" t="s">
        <v>123</v>
      </c>
      <c r="C46" s="60"/>
      <c r="D46" s="60" t="s">
        <v>62</v>
      </c>
      <c r="E46" s="60"/>
      <c r="F46" s="60" t="s">
        <v>124</v>
      </c>
      <c r="G46" s="60"/>
      <c r="H46" s="62" t="s">
        <v>58</v>
      </c>
      <c r="I46" s="98"/>
      <c r="J46" s="92"/>
    </row>
    <row r="47" spans="1:10" ht="13.8">
      <c r="A47" s="48"/>
      <c r="B47" s="56" t="s">
        <v>125</v>
      </c>
      <c r="C47" s="63"/>
      <c r="D47" s="64" t="s">
        <v>63</v>
      </c>
      <c r="E47" s="63"/>
      <c r="F47" s="307" t="str">
        <f>+F12</f>
        <v>6. Wage Period: 01.04.2026 to 30.04.2026</v>
      </c>
      <c r="G47" s="307"/>
      <c r="H47" s="308"/>
      <c r="I47" s="67"/>
      <c r="J47" s="92"/>
    </row>
    <row r="48" spans="1:10" ht="13.8">
      <c r="A48" s="48"/>
      <c r="B48" s="56"/>
      <c r="C48" s="63"/>
      <c r="D48" s="63"/>
      <c r="E48" s="63"/>
      <c r="F48" s="307"/>
      <c r="G48" s="307"/>
      <c r="H48" s="65"/>
      <c r="I48" s="98"/>
      <c r="J48" s="92"/>
    </row>
    <row r="49" spans="1:10" ht="13.8">
      <c r="A49" s="48"/>
      <c r="B49" s="309" t="s">
        <v>126</v>
      </c>
      <c r="C49" s="310"/>
      <c r="D49" s="310"/>
      <c r="E49" s="310"/>
      <c r="F49" s="310"/>
      <c r="G49" s="310"/>
      <c r="H49" s="311"/>
      <c r="I49" s="98"/>
      <c r="J49" s="92"/>
    </row>
    <row r="50" spans="1:10" ht="13.8">
      <c r="A50" s="48"/>
      <c r="B50" s="312" t="s">
        <v>127</v>
      </c>
      <c r="C50" s="313"/>
      <c r="D50" s="66" t="s">
        <v>128</v>
      </c>
      <c r="E50" s="67"/>
      <c r="F50" s="314" t="str">
        <f>B50</f>
        <v>Particulars</v>
      </c>
      <c r="G50" s="315"/>
      <c r="H50" s="66" t="s">
        <v>128</v>
      </c>
      <c r="I50" s="67"/>
      <c r="J50" s="92"/>
    </row>
    <row r="51" spans="1:10" ht="13.8">
      <c r="A51" s="48"/>
      <c r="B51" s="304" t="s">
        <v>129</v>
      </c>
      <c r="C51" s="304"/>
      <c r="D51" s="69">
        <f>'Form XXVII Register of Wages'!S8</f>
        <v>4202</v>
      </c>
      <c r="E51" s="70"/>
      <c r="F51" s="71"/>
      <c r="G51" s="72" t="s">
        <v>130</v>
      </c>
      <c r="H51" s="73">
        <f>D61</f>
        <v>10456</v>
      </c>
      <c r="I51" s="98"/>
      <c r="J51" s="92"/>
    </row>
    <row r="52" spans="1:10" ht="13.8">
      <c r="A52" s="48"/>
      <c r="B52" s="304" t="s">
        <v>131</v>
      </c>
      <c r="C52" s="304"/>
      <c r="D52" s="69">
        <f>'Form XXVII Register of Wages'!T8</f>
        <v>4525</v>
      </c>
      <c r="E52" s="70"/>
      <c r="F52" s="74" t="s">
        <v>132</v>
      </c>
      <c r="G52" s="75" t="s">
        <v>128</v>
      </c>
      <c r="H52" s="76"/>
      <c r="I52" s="98"/>
      <c r="J52" s="92"/>
    </row>
    <row r="53" spans="1:10" ht="13.8">
      <c r="A53" s="48"/>
      <c r="B53" s="304" t="s">
        <v>133</v>
      </c>
      <c r="C53" s="304"/>
      <c r="D53" s="69">
        <f>'Form XXVII Register of Wages'!U8</f>
        <v>1729</v>
      </c>
      <c r="E53" s="70"/>
      <c r="F53" s="68" t="s">
        <v>134</v>
      </c>
      <c r="G53" s="90">
        <f>'Form XXVII Register of Wages'!AD8</f>
        <v>1048</v>
      </c>
      <c r="H53" s="68"/>
      <c r="I53" s="98"/>
      <c r="J53" s="92"/>
    </row>
    <row r="54" spans="1:10" ht="13.8">
      <c r="A54" s="48"/>
      <c r="B54" s="316" t="s">
        <v>135</v>
      </c>
      <c r="C54" s="317"/>
      <c r="D54" s="69" t="s">
        <v>61</v>
      </c>
      <c r="E54" s="70"/>
      <c r="F54" s="68" t="s">
        <v>136</v>
      </c>
      <c r="G54" s="90">
        <f>'Form XXVII Register of Wages'!AE8</f>
        <v>79</v>
      </c>
      <c r="H54" s="68"/>
      <c r="I54" s="98"/>
      <c r="J54" s="92"/>
    </row>
    <row r="55" spans="1:10" ht="13.8">
      <c r="A55" s="48"/>
      <c r="B55" s="316" t="s">
        <v>137</v>
      </c>
      <c r="C55" s="317"/>
      <c r="D55" s="69" t="s">
        <v>61</v>
      </c>
      <c r="E55" s="70"/>
      <c r="F55" s="68" t="s">
        <v>138</v>
      </c>
      <c r="G55" s="69" t="s">
        <v>61</v>
      </c>
      <c r="H55" s="68"/>
      <c r="I55" s="98"/>
      <c r="J55" s="92"/>
    </row>
    <row r="56" spans="1:10" ht="13.8">
      <c r="A56" s="48"/>
      <c r="B56" s="316" t="s">
        <v>139</v>
      </c>
      <c r="C56" s="317"/>
      <c r="D56" s="69" t="s">
        <v>61</v>
      </c>
      <c r="E56" s="70"/>
      <c r="F56" s="68" t="s">
        <v>140</v>
      </c>
      <c r="G56" s="69">
        <f>+'Form XXVII Register of Wages'!AG8</f>
        <v>0</v>
      </c>
      <c r="H56" s="80"/>
      <c r="I56" s="98"/>
      <c r="J56" s="92"/>
    </row>
    <row r="57" spans="1:10" ht="13.8">
      <c r="A57" s="48"/>
      <c r="B57" s="316" t="s">
        <v>141</v>
      </c>
      <c r="C57" s="317"/>
      <c r="D57" s="69" t="s">
        <v>61</v>
      </c>
      <c r="E57" s="70"/>
      <c r="F57" s="68" t="s">
        <v>142</v>
      </c>
      <c r="G57" s="69" t="s">
        <v>61</v>
      </c>
      <c r="H57" s="81"/>
      <c r="I57" s="98"/>
      <c r="J57" s="92"/>
    </row>
    <row r="58" spans="1:10" ht="13.8">
      <c r="A58" s="48"/>
      <c r="B58" s="77" t="s">
        <v>143</v>
      </c>
      <c r="C58" s="78"/>
      <c r="D58" s="69">
        <f>'Form XXVII Register of Wages'!X8</f>
        <v>0</v>
      </c>
      <c r="E58" s="70"/>
      <c r="F58" s="68" t="s">
        <v>144</v>
      </c>
      <c r="G58" s="69" t="s">
        <v>61</v>
      </c>
      <c r="H58" s="81"/>
      <c r="I58" s="98"/>
      <c r="J58" s="92"/>
    </row>
    <row r="59" spans="1:10" ht="13.8">
      <c r="A59" s="48"/>
      <c r="B59" s="304" t="s">
        <v>145</v>
      </c>
      <c r="C59" s="304"/>
      <c r="D59" s="69">
        <f>'Form XXVII Register of Wages'!Y8</f>
        <v>0</v>
      </c>
      <c r="F59" s="74" t="s">
        <v>146</v>
      </c>
      <c r="G59" s="69">
        <f>SUM(G53:G58)</f>
        <v>1127</v>
      </c>
      <c r="H59" s="73">
        <f>G59</f>
        <v>1127</v>
      </c>
      <c r="I59" s="49"/>
      <c r="J59" s="49"/>
    </row>
    <row r="60" spans="1:10">
      <c r="B60" s="316" t="s">
        <v>147</v>
      </c>
      <c r="C60" s="317"/>
      <c r="D60" s="69" t="s">
        <v>61</v>
      </c>
      <c r="F60" s="74"/>
      <c r="G60" s="82"/>
      <c r="H60" s="91"/>
    </row>
    <row r="61" spans="1:10">
      <c r="B61" s="318" t="s">
        <v>148</v>
      </c>
      <c r="C61" s="319"/>
      <c r="D61" s="73">
        <f>SUM(D51:D60)</f>
        <v>10456</v>
      </c>
      <c r="E61" s="70"/>
      <c r="F61" s="80"/>
      <c r="G61" s="74" t="s">
        <v>149</v>
      </c>
      <c r="H61" s="73">
        <f>D61-G59</f>
        <v>9329</v>
      </c>
    </row>
    <row r="62" spans="1:10">
      <c r="B62" s="83"/>
      <c r="H62" s="84"/>
    </row>
    <row r="63" spans="1:10">
      <c r="B63" s="83"/>
      <c r="H63" s="84"/>
    </row>
    <row r="64" spans="1:10">
      <c r="B64" s="83"/>
      <c r="H64" s="84"/>
    </row>
    <row r="65" spans="2:8">
      <c r="B65" s="83"/>
      <c r="H65" s="84"/>
    </row>
    <row r="66" spans="2:8">
      <c r="B66" s="83"/>
      <c r="H66" s="84"/>
    </row>
    <row r="67" spans="2:8" ht="13.8">
      <c r="B67" s="85" t="s">
        <v>150</v>
      </c>
      <c r="C67" s="86"/>
      <c r="D67" s="86"/>
      <c r="E67" s="86"/>
      <c r="F67" s="86" t="s">
        <v>151</v>
      </c>
      <c r="G67" s="86"/>
      <c r="H67" s="87"/>
    </row>
    <row r="70" spans="2:8" ht="15.6">
      <c r="B70" s="320"/>
      <c r="C70" s="320"/>
      <c r="D70" s="320"/>
      <c r="E70" s="320"/>
      <c r="F70" s="320"/>
      <c r="G70" s="320"/>
      <c r="H70" s="320"/>
    </row>
    <row r="76" spans="2:8" ht="15.6">
      <c r="B76" s="320"/>
      <c r="C76" s="320"/>
      <c r="D76" s="320"/>
      <c r="E76" s="320"/>
      <c r="F76" s="320"/>
      <c r="G76" s="320"/>
      <c r="H76" s="320"/>
    </row>
    <row r="79" spans="2:8" ht="15.6">
      <c r="B79" s="296" t="s">
        <v>117</v>
      </c>
      <c r="C79" s="297"/>
      <c r="D79" s="297"/>
      <c r="E79" s="297"/>
      <c r="F79" s="297"/>
      <c r="G79" s="297"/>
      <c r="H79" s="298"/>
    </row>
    <row r="80" spans="2:8">
      <c r="B80" s="299" t="s">
        <v>118</v>
      </c>
      <c r="C80" s="300"/>
      <c r="D80" s="300"/>
      <c r="E80" s="300"/>
      <c r="F80" s="300"/>
      <c r="G80" s="300"/>
      <c r="H80" s="301"/>
    </row>
    <row r="81" spans="2:8">
      <c r="B81" s="50"/>
      <c r="C81" s="51"/>
      <c r="D81" s="51"/>
      <c r="E81" s="51"/>
      <c r="F81" s="51"/>
      <c r="G81" s="51"/>
      <c r="H81" s="52"/>
    </row>
    <row r="82" spans="2:8" ht="18.600000000000001">
      <c r="B82" s="53"/>
      <c r="C82" s="302" t="s">
        <v>119</v>
      </c>
      <c r="D82" s="302"/>
      <c r="E82" s="302"/>
      <c r="F82" s="302"/>
      <c r="G82" s="302"/>
      <c r="H82" s="54" t="str">
        <f>+H5</f>
        <v>Date: 05.05.2026</v>
      </c>
    </row>
    <row r="83" spans="2:8" ht="13.8">
      <c r="B83" s="53"/>
      <c r="C83" s="49"/>
      <c r="D83" s="49"/>
      <c r="E83" s="49"/>
      <c r="F83" s="49"/>
      <c r="G83" s="49"/>
      <c r="H83" s="55"/>
    </row>
    <row r="84" spans="2:8" ht="15" customHeight="1">
      <c r="B84" s="299" t="s">
        <v>120</v>
      </c>
      <c r="C84" s="300"/>
      <c r="D84" s="300"/>
      <c r="E84" s="321" t="s">
        <v>6</v>
      </c>
      <c r="F84" s="322"/>
      <c r="G84" s="322"/>
      <c r="H84" s="323"/>
    </row>
    <row r="85" spans="2:8">
      <c r="B85" s="56"/>
      <c r="C85" s="57"/>
      <c r="D85" s="51"/>
      <c r="E85" s="322"/>
      <c r="F85" s="322"/>
      <c r="G85" s="322"/>
      <c r="H85" s="323"/>
    </row>
    <row r="86" spans="2:8">
      <c r="B86" s="56"/>
      <c r="C86" s="57"/>
      <c r="D86" s="51"/>
      <c r="E86" s="322"/>
      <c r="F86" s="322"/>
      <c r="G86" s="322"/>
      <c r="H86" s="323"/>
    </row>
    <row r="87" spans="2:8">
      <c r="B87" s="58" t="s">
        <v>121</v>
      </c>
      <c r="C87" s="57"/>
      <c r="D87" s="324" t="s">
        <v>274</v>
      </c>
      <c r="E87" s="303"/>
      <c r="F87" s="303"/>
      <c r="G87" s="57"/>
      <c r="H87" s="54"/>
    </row>
    <row r="88" spans="2:8">
      <c r="B88" s="59" t="s">
        <v>123</v>
      </c>
      <c r="C88" s="60"/>
      <c r="D88" s="216" t="s">
        <v>277</v>
      </c>
      <c r="E88" s="60"/>
      <c r="F88" s="60" t="s">
        <v>124</v>
      </c>
      <c r="G88" s="60"/>
      <c r="H88" s="62" t="s">
        <v>58</v>
      </c>
    </row>
    <row r="89" spans="2:8">
      <c r="B89" s="56" t="s">
        <v>125</v>
      </c>
      <c r="C89" s="63"/>
      <c r="D89" s="64">
        <v>46057</v>
      </c>
      <c r="E89" s="63"/>
      <c r="F89" s="307" t="str">
        <f>+F12</f>
        <v>6. Wage Period: 01.04.2026 to 30.04.2026</v>
      </c>
      <c r="G89" s="307"/>
      <c r="H89" s="308"/>
    </row>
    <row r="90" spans="2:8">
      <c r="B90" s="56"/>
      <c r="C90" s="63"/>
      <c r="D90" s="63"/>
      <c r="E90" s="63"/>
      <c r="F90" s="307"/>
      <c r="G90" s="307"/>
      <c r="H90" s="65"/>
    </row>
    <row r="91" spans="2:8">
      <c r="B91" s="309" t="s">
        <v>126</v>
      </c>
      <c r="C91" s="310"/>
      <c r="D91" s="310"/>
      <c r="E91" s="310"/>
      <c r="F91" s="310"/>
      <c r="G91" s="310"/>
      <c r="H91" s="311"/>
    </row>
    <row r="92" spans="2:8">
      <c r="B92" s="312" t="s">
        <v>127</v>
      </c>
      <c r="C92" s="313"/>
      <c r="D92" s="66" t="s">
        <v>128</v>
      </c>
      <c r="E92" s="67"/>
      <c r="F92" s="314" t="str">
        <f>B92</f>
        <v>Particulars</v>
      </c>
      <c r="G92" s="315"/>
      <c r="H92" s="66" t="s">
        <v>128</v>
      </c>
    </row>
    <row r="93" spans="2:8">
      <c r="B93" s="304" t="s">
        <v>129</v>
      </c>
      <c r="C93" s="304"/>
      <c r="D93" s="90">
        <f>'Form XXVII Register of Wages'!S9</f>
        <v>4202</v>
      </c>
      <c r="E93" s="70"/>
      <c r="F93" s="71"/>
      <c r="G93" s="72" t="s">
        <v>130</v>
      </c>
      <c r="H93" s="73">
        <f>D103</f>
        <v>10456</v>
      </c>
    </row>
    <row r="94" spans="2:8">
      <c r="B94" s="304" t="s">
        <v>131</v>
      </c>
      <c r="C94" s="304"/>
      <c r="D94" s="90">
        <f>'Form XXVII Register of Wages'!T9</f>
        <v>4525</v>
      </c>
      <c r="E94" s="70"/>
      <c r="F94" s="74" t="s">
        <v>132</v>
      </c>
      <c r="G94" s="75" t="s">
        <v>128</v>
      </c>
      <c r="H94" s="91"/>
    </row>
    <row r="95" spans="2:8">
      <c r="B95" s="304" t="s">
        <v>133</v>
      </c>
      <c r="C95" s="304"/>
      <c r="D95" s="90">
        <f>'Form XXVII Register of Wages'!U9</f>
        <v>1729</v>
      </c>
      <c r="E95" s="70"/>
      <c r="F95" s="68" t="s">
        <v>134</v>
      </c>
      <c r="G95" s="90">
        <f>'Form XXVII Register of Wages'!AD9</f>
        <v>1048</v>
      </c>
      <c r="H95" s="100"/>
    </row>
    <row r="96" spans="2:8">
      <c r="B96" s="316" t="s">
        <v>135</v>
      </c>
      <c r="C96" s="317"/>
      <c r="D96" s="69" t="s">
        <v>61</v>
      </c>
      <c r="E96" s="70"/>
      <c r="F96" s="68" t="s">
        <v>136</v>
      </c>
      <c r="G96" s="90">
        <f>'Form XXVII Register of Wages'!AE9</f>
        <v>79</v>
      </c>
      <c r="H96" s="100"/>
    </row>
    <row r="97" spans="1:10">
      <c r="B97" s="316" t="s">
        <v>137</v>
      </c>
      <c r="C97" s="317"/>
      <c r="D97" s="69" t="s">
        <v>61</v>
      </c>
      <c r="E97" s="70"/>
      <c r="F97" s="68" t="s">
        <v>138</v>
      </c>
      <c r="G97" s="69" t="s">
        <v>61</v>
      </c>
      <c r="H97" s="100"/>
    </row>
    <row r="98" spans="1:10">
      <c r="B98" s="316" t="s">
        <v>139</v>
      </c>
      <c r="C98" s="317"/>
      <c r="D98" s="69" t="s">
        <v>61</v>
      </c>
      <c r="E98" s="70"/>
      <c r="F98" s="68" t="s">
        <v>140</v>
      </c>
      <c r="G98" s="69">
        <f>+'Form XXVII Register of Wages'!AG9</f>
        <v>0</v>
      </c>
      <c r="H98" s="90"/>
    </row>
    <row r="99" spans="1:10">
      <c r="B99" s="316" t="s">
        <v>141</v>
      </c>
      <c r="C99" s="317"/>
      <c r="D99" s="69" t="s">
        <v>61</v>
      </c>
      <c r="E99" s="70"/>
      <c r="F99" s="68" t="s">
        <v>142</v>
      </c>
      <c r="G99" s="69" t="s">
        <v>61</v>
      </c>
      <c r="H99" s="100"/>
    </row>
    <row r="100" spans="1:10">
      <c r="B100" s="77" t="s">
        <v>143</v>
      </c>
      <c r="C100" s="78"/>
      <c r="D100" s="90">
        <f>'Form XXVII Register of Wages'!X9</f>
        <v>0</v>
      </c>
      <c r="E100" s="70"/>
      <c r="F100" s="68" t="s">
        <v>144</v>
      </c>
      <c r="G100" s="69" t="s">
        <v>61</v>
      </c>
      <c r="H100" s="100"/>
    </row>
    <row r="101" spans="1:10">
      <c r="B101" s="304" t="s">
        <v>145</v>
      </c>
      <c r="C101" s="304"/>
      <c r="D101" s="69">
        <f>'Form XXVII Register of Wages'!Y9</f>
        <v>0</v>
      </c>
      <c r="F101" s="74" t="s">
        <v>146</v>
      </c>
      <c r="G101" s="69">
        <f>SUM(G95:G100)</f>
        <v>1127</v>
      </c>
      <c r="H101" s="73">
        <f>G101</f>
        <v>1127</v>
      </c>
    </row>
    <row r="102" spans="1:10">
      <c r="B102" s="316" t="s">
        <v>147</v>
      </c>
      <c r="C102" s="317"/>
      <c r="D102" s="69" t="s">
        <v>61</v>
      </c>
      <c r="F102" s="74"/>
      <c r="G102" s="82"/>
      <c r="H102" s="91"/>
    </row>
    <row r="103" spans="1:10">
      <c r="B103" s="318" t="s">
        <v>148</v>
      </c>
      <c r="C103" s="319"/>
      <c r="D103" s="73">
        <f>SUM(D93:D102)</f>
        <v>10456</v>
      </c>
      <c r="E103" s="70"/>
      <c r="F103" s="80"/>
      <c r="G103" s="74" t="s">
        <v>149</v>
      </c>
      <c r="H103" s="73">
        <f>D103-G101</f>
        <v>9329</v>
      </c>
    </row>
    <row r="104" spans="1:10">
      <c r="B104" s="83"/>
      <c r="H104" s="84"/>
    </row>
    <row r="105" spans="1:10">
      <c r="B105" s="83"/>
      <c r="H105" s="84"/>
    </row>
    <row r="106" spans="1:10">
      <c r="B106" s="83"/>
      <c r="H106" s="84"/>
    </row>
    <row r="107" spans="1:10">
      <c r="B107" s="83"/>
      <c r="H107" s="84"/>
    </row>
    <row r="108" spans="1:10">
      <c r="B108" s="83"/>
      <c r="H108" s="84"/>
    </row>
    <row r="109" spans="1:10" ht="13.8">
      <c r="B109" s="85" t="s">
        <v>150</v>
      </c>
      <c r="C109" s="86"/>
      <c r="D109" s="86"/>
      <c r="E109" s="86"/>
      <c r="F109" s="86" t="s">
        <v>151</v>
      </c>
      <c r="G109" s="86"/>
      <c r="H109" s="87"/>
    </row>
    <row r="110" spans="1:10" ht="13.8">
      <c r="A110" s="48"/>
      <c r="J110" s="49"/>
    </row>
    <row r="111" spans="1:10" ht="13.8">
      <c r="A111" s="48"/>
      <c r="J111" s="49"/>
    </row>
    <row r="112" spans="1:10" ht="15.6">
      <c r="A112" s="48"/>
      <c r="B112" s="320"/>
      <c r="C112" s="320"/>
      <c r="D112" s="320"/>
      <c r="E112" s="320"/>
      <c r="F112" s="320"/>
      <c r="G112" s="320"/>
      <c r="H112" s="320"/>
      <c r="I112" s="88"/>
      <c r="J112" s="49"/>
    </row>
    <row r="113" spans="1:10" ht="13.8">
      <c r="A113" s="48"/>
      <c r="B113" s="49"/>
      <c r="C113" s="49"/>
      <c r="D113" s="49"/>
      <c r="E113" s="49"/>
      <c r="F113" s="49"/>
      <c r="G113" s="49"/>
      <c r="H113" s="89"/>
      <c r="I113" s="49"/>
      <c r="J113" s="49"/>
    </row>
    <row r="114" spans="1:10" ht="15.6">
      <c r="A114" s="48"/>
      <c r="B114" s="296" t="s">
        <v>117</v>
      </c>
      <c r="C114" s="297"/>
      <c r="D114" s="297"/>
      <c r="E114" s="297"/>
      <c r="F114" s="297"/>
      <c r="G114" s="297"/>
      <c r="H114" s="298"/>
      <c r="I114" s="60"/>
      <c r="J114" s="92"/>
    </row>
    <row r="115" spans="1:10" ht="14.25" customHeight="1">
      <c r="A115" s="48"/>
      <c r="B115" s="299" t="s">
        <v>118</v>
      </c>
      <c r="C115" s="300"/>
      <c r="D115" s="300"/>
      <c r="E115" s="300"/>
      <c r="F115" s="300"/>
      <c r="G115" s="300"/>
      <c r="H115" s="301"/>
      <c r="I115" s="60"/>
      <c r="J115" s="92"/>
    </row>
    <row r="116" spans="1:10" ht="13.8">
      <c r="A116" s="48"/>
      <c r="B116" s="50"/>
      <c r="C116" s="51"/>
      <c r="D116" s="51"/>
      <c r="E116" s="51"/>
      <c r="F116" s="51"/>
      <c r="G116" s="51"/>
      <c r="H116" s="52"/>
      <c r="I116" s="93"/>
      <c r="J116" s="92"/>
    </row>
    <row r="117" spans="1:10" ht="18.600000000000001">
      <c r="A117" s="48"/>
      <c r="B117" s="53"/>
      <c r="C117" s="302" t="s">
        <v>119</v>
      </c>
      <c r="D117" s="302"/>
      <c r="E117" s="302"/>
      <c r="F117" s="302"/>
      <c r="G117" s="302"/>
      <c r="H117" s="54" t="str">
        <f>+H82</f>
        <v>Date: 05.05.2026</v>
      </c>
      <c r="I117" s="51"/>
      <c r="J117" s="92"/>
    </row>
    <row r="118" spans="1:10" ht="13.8">
      <c r="A118" s="48"/>
      <c r="B118" s="53"/>
      <c r="C118" s="49"/>
      <c r="D118" s="49"/>
      <c r="E118" s="49"/>
      <c r="F118" s="49"/>
      <c r="G118" s="49"/>
      <c r="H118" s="55"/>
      <c r="I118" s="51"/>
      <c r="J118" s="92"/>
    </row>
    <row r="119" spans="1:10" ht="14.1" customHeight="1">
      <c r="A119" s="48"/>
      <c r="B119" s="299" t="s">
        <v>120</v>
      </c>
      <c r="C119" s="300"/>
      <c r="D119" s="300"/>
      <c r="E119" s="321" t="s">
        <v>6</v>
      </c>
      <c r="F119" s="322"/>
      <c r="G119" s="322"/>
      <c r="H119" s="323"/>
      <c r="I119" s="51"/>
      <c r="J119" s="92"/>
    </row>
    <row r="120" spans="1:10" ht="13.8">
      <c r="A120" s="48"/>
      <c r="B120" s="56"/>
      <c r="C120" s="57"/>
      <c r="D120" s="51"/>
      <c r="E120" s="322"/>
      <c r="F120" s="322"/>
      <c r="G120" s="322"/>
      <c r="H120" s="323"/>
      <c r="I120" s="51"/>
      <c r="J120" s="92"/>
    </row>
    <row r="121" spans="1:10" ht="13.8">
      <c r="A121" s="48"/>
      <c r="B121" s="56"/>
      <c r="C121" s="57"/>
      <c r="D121" s="51"/>
      <c r="E121" s="322"/>
      <c r="F121" s="322"/>
      <c r="G121" s="322"/>
      <c r="H121" s="323"/>
      <c r="I121" s="51"/>
      <c r="J121" s="92"/>
    </row>
    <row r="122" spans="1:10" ht="13.8">
      <c r="A122" s="48"/>
      <c r="B122" s="58" t="s">
        <v>121</v>
      </c>
      <c r="C122" s="57"/>
      <c r="D122" s="303" t="s">
        <v>292</v>
      </c>
      <c r="E122" s="303"/>
      <c r="F122" s="303"/>
      <c r="G122" s="57"/>
      <c r="H122" s="54"/>
      <c r="I122" s="67"/>
      <c r="J122" s="94"/>
    </row>
    <row r="123" spans="1:10" ht="13.8">
      <c r="A123" s="48"/>
      <c r="B123" s="59" t="s">
        <v>123</v>
      </c>
      <c r="C123" s="60"/>
      <c r="D123" s="60" t="s">
        <v>296</v>
      </c>
      <c r="E123" s="60"/>
      <c r="F123" s="60" t="s">
        <v>124</v>
      </c>
      <c r="G123" s="60"/>
      <c r="H123" s="62" t="s">
        <v>58</v>
      </c>
      <c r="I123" s="98"/>
      <c r="J123" s="92"/>
    </row>
    <row r="124" spans="1:10" ht="13.8">
      <c r="A124" s="48"/>
      <c r="B124" s="56" t="s">
        <v>125</v>
      </c>
      <c r="C124" s="63"/>
      <c r="D124" s="64">
        <v>46132</v>
      </c>
      <c r="E124" s="63"/>
      <c r="F124" s="307" t="str">
        <f>+F89</f>
        <v>6. Wage Period: 01.04.2026 to 30.04.2026</v>
      </c>
      <c r="G124" s="307"/>
      <c r="H124" s="308"/>
      <c r="I124" s="67"/>
      <c r="J124" s="92"/>
    </row>
    <row r="125" spans="1:10" ht="13.8">
      <c r="A125" s="48"/>
      <c r="B125" s="56"/>
      <c r="C125" s="63"/>
      <c r="D125" s="63"/>
      <c r="E125" s="63"/>
      <c r="F125" s="307"/>
      <c r="G125" s="307"/>
      <c r="H125" s="65"/>
      <c r="I125" s="98"/>
      <c r="J125" s="92"/>
    </row>
    <row r="126" spans="1:10" ht="13.8">
      <c r="A126" s="48"/>
      <c r="B126" s="309" t="s">
        <v>126</v>
      </c>
      <c r="C126" s="310"/>
      <c r="D126" s="310"/>
      <c r="E126" s="310"/>
      <c r="F126" s="310"/>
      <c r="G126" s="310"/>
      <c r="H126" s="311"/>
      <c r="I126" s="98"/>
      <c r="J126" s="92"/>
    </row>
    <row r="127" spans="1:10" ht="13.8">
      <c r="A127" s="48"/>
      <c r="B127" s="312" t="s">
        <v>127</v>
      </c>
      <c r="C127" s="313"/>
      <c r="D127" s="66" t="s">
        <v>128</v>
      </c>
      <c r="E127" s="67"/>
      <c r="F127" s="314" t="str">
        <f>B127</f>
        <v>Particulars</v>
      </c>
      <c r="G127" s="315"/>
      <c r="H127" s="66" t="s">
        <v>128</v>
      </c>
      <c r="I127" s="67"/>
      <c r="J127" s="92"/>
    </row>
    <row r="128" spans="1:10" ht="13.8">
      <c r="A128" s="48"/>
      <c r="B128" s="304" t="s">
        <v>129</v>
      </c>
      <c r="C128" s="304"/>
      <c r="D128" s="69">
        <f>+'Form XXVII Register of Wages'!S10</f>
        <v>2626.5384615384614</v>
      </c>
      <c r="E128" s="70"/>
      <c r="F128" s="71"/>
      <c r="G128" s="72" t="s">
        <v>130</v>
      </c>
      <c r="H128" s="73">
        <f>D138</f>
        <v>6535</v>
      </c>
      <c r="I128" s="98"/>
      <c r="J128" s="92"/>
    </row>
    <row r="129" spans="1:10" ht="13.8">
      <c r="A129" s="48"/>
      <c r="B129" s="304" t="s">
        <v>131</v>
      </c>
      <c r="C129" s="304"/>
      <c r="D129" s="69">
        <f>+'Form XXVII Register of Wages'!T10</f>
        <v>2812.6923076923076</v>
      </c>
      <c r="E129" s="70"/>
      <c r="F129" s="74" t="s">
        <v>132</v>
      </c>
      <c r="G129" s="75" t="s">
        <v>128</v>
      </c>
      <c r="H129" s="76"/>
      <c r="I129" s="98"/>
      <c r="J129" s="92"/>
    </row>
    <row r="130" spans="1:10" ht="13.8">
      <c r="A130" s="48"/>
      <c r="B130" s="304" t="s">
        <v>133</v>
      </c>
      <c r="C130" s="304"/>
      <c r="D130" s="69">
        <f>+'Form XXVII Register of Wages'!U10</f>
        <v>1095.7692307692307</v>
      </c>
      <c r="E130" s="70"/>
      <c r="F130" s="68" t="s">
        <v>134</v>
      </c>
      <c r="G130" s="90">
        <f>+'Form XXVII Register of Wages'!AD10</f>
        <v>653</v>
      </c>
      <c r="H130" s="68"/>
      <c r="I130" s="98"/>
      <c r="J130" s="92"/>
    </row>
    <row r="131" spans="1:10" ht="13.8">
      <c r="A131" s="48"/>
      <c r="B131" s="316" t="s">
        <v>135</v>
      </c>
      <c r="C131" s="317"/>
      <c r="D131" s="69" t="s">
        <v>61</v>
      </c>
      <c r="E131" s="70"/>
      <c r="F131" s="68" t="s">
        <v>136</v>
      </c>
      <c r="G131" s="90">
        <f>'Form XXVII Register of Wages'!AE115</f>
        <v>0</v>
      </c>
      <c r="H131" s="68"/>
      <c r="I131" s="98"/>
      <c r="J131" s="92"/>
    </row>
    <row r="132" spans="1:10" ht="13.8">
      <c r="A132" s="48"/>
      <c r="B132" s="316" t="s">
        <v>137</v>
      </c>
      <c r="C132" s="317"/>
      <c r="D132" s="69" t="s">
        <v>61</v>
      </c>
      <c r="E132" s="70"/>
      <c r="F132" s="68" t="s">
        <v>138</v>
      </c>
      <c r="G132" s="69" t="s">
        <v>61</v>
      </c>
      <c r="H132" s="68"/>
      <c r="I132" s="98"/>
      <c r="J132" s="92"/>
    </row>
    <row r="133" spans="1:10" ht="13.8">
      <c r="A133" s="48"/>
      <c r="B133" s="316" t="s">
        <v>139</v>
      </c>
      <c r="C133" s="317"/>
      <c r="D133" s="69" t="s">
        <v>61</v>
      </c>
      <c r="E133" s="70"/>
      <c r="F133" s="68" t="s">
        <v>140</v>
      </c>
      <c r="G133" s="69">
        <f>+'Form XXVII Register of Wages'!AG115</f>
        <v>0</v>
      </c>
      <c r="H133" s="80"/>
      <c r="I133" s="98"/>
      <c r="J133" s="92"/>
    </row>
    <row r="134" spans="1:10" ht="13.8">
      <c r="A134" s="48"/>
      <c r="B134" s="316" t="s">
        <v>141</v>
      </c>
      <c r="C134" s="317"/>
      <c r="D134" s="69" t="s">
        <v>61</v>
      </c>
      <c r="E134" s="70"/>
      <c r="F134" s="68" t="s">
        <v>142</v>
      </c>
      <c r="G134" s="69" t="s">
        <v>61</v>
      </c>
      <c r="H134" s="81"/>
      <c r="I134" s="98"/>
      <c r="J134" s="92"/>
    </row>
    <row r="135" spans="1:10" ht="13.8">
      <c r="A135" s="48"/>
      <c r="B135" s="77" t="s">
        <v>143</v>
      </c>
      <c r="C135" s="78"/>
      <c r="D135" s="69">
        <f>+'Form XXVII Register of Wages'!X10</f>
        <v>0</v>
      </c>
      <c r="E135" s="70"/>
      <c r="F135" s="68" t="s">
        <v>144</v>
      </c>
      <c r="G135" s="69" t="s">
        <v>61</v>
      </c>
      <c r="H135" s="81"/>
      <c r="I135" s="98"/>
      <c r="J135" s="92"/>
    </row>
    <row r="136" spans="1:10" ht="13.8">
      <c r="A136" s="48"/>
      <c r="B136" s="304" t="s">
        <v>145</v>
      </c>
      <c r="C136" s="304"/>
      <c r="D136" s="69">
        <f>+'Form XXVII Register of Wages'!Y10</f>
        <v>0</v>
      </c>
      <c r="F136" s="74" t="s">
        <v>146</v>
      </c>
      <c r="G136" s="69">
        <f>SUM(G130:G135)</f>
        <v>653</v>
      </c>
      <c r="H136" s="73">
        <f>G136</f>
        <v>653</v>
      </c>
      <c r="I136" s="49"/>
      <c r="J136" s="49"/>
    </row>
    <row r="137" spans="1:10">
      <c r="B137" s="316" t="s">
        <v>147</v>
      </c>
      <c r="C137" s="317"/>
      <c r="D137" s="69" t="s">
        <v>61</v>
      </c>
      <c r="F137" s="74"/>
      <c r="G137" s="82"/>
      <c r="H137" s="91"/>
    </row>
    <row r="138" spans="1:10">
      <c r="B138" s="318" t="s">
        <v>148</v>
      </c>
      <c r="C138" s="319"/>
      <c r="D138" s="73">
        <f>SUM(D128:D137)</f>
        <v>6535</v>
      </c>
      <c r="E138" s="70"/>
      <c r="F138" s="80"/>
      <c r="G138" s="74" t="s">
        <v>149</v>
      </c>
      <c r="H138" s="73">
        <f>D138-G136</f>
        <v>5882</v>
      </c>
    </row>
    <row r="139" spans="1:10">
      <c r="B139" s="83"/>
      <c r="H139" s="84"/>
    </row>
    <row r="140" spans="1:10">
      <c r="B140" s="83"/>
      <c r="H140" s="84"/>
    </row>
    <row r="141" spans="1:10">
      <c r="B141" s="83"/>
      <c r="H141" s="84"/>
    </row>
    <row r="142" spans="1:10">
      <c r="B142" s="83"/>
      <c r="H142" s="84"/>
    </row>
    <row r="143" spans="1:10">
      <c r="B143" s="83"/>
      <c r="H143" s="84"/>
    </row>
    <row r="144" spans="1:10" ht="13.8">
      <c r="B144" s="85" t="s">
        <v>150</v>
      </c>
      <c r="C144" s="86"/>
      <c r="D144" s="86"/>
      <c r="E144" s="86"/>
      <c r="F144" s="86" t="s">
        <v>151</v>
      </c>
      <c r="G144" s="86"/>
      <c r="H144" s="87"/>
    </row>
    <row r="147" spans="2:8" ht="15.6">
      <c r="B147" s="320"/>
      <c r="C147" s="320"/>
      <c r="D147" s="320"/>
      <c r="E147" s="320"/>
      <c r="F147" s="320"/>
      <c r="G147" s="320"/>
      <c r="H147" s="320"/>
    </row>
    <row r="151" spans="2:8" ht="15.6">
      <c r="B151" s="296" t="s">
        <v>117</v>
      </c>
      <c r="C151" s="297"/>
      <c r="D151" s="297"/>
      <c r="E151" s="297"/>
      <c r="F151" s="297"/>
      <c r="G151" s="297"/>
      <c r="H151" s="298"/>
    </row>
    <row r="152" spans="2:8">
      <c r="B152" s="299" t="s">
        <v>118</v>
      </c>
      <c r="C152" s="300"/>
      <c r="D152" s="300"/>
      <c r="E152" s="300"/>
      <c r="F152" s="300"/>
      <c r="G152" s="300"/>
      <c r="H152" s="301"/>
    </row>
    <row r="153" spans="2:8">
      <c r="B153" s="50"/>
      <c r="C153" s="51"/>
      <c r="D153" s="51"/>
      <c r="E153" s="51"/>
      <c r="F153" s="51"/>
      <c r="G153" s="51"/>
      <c r="H153" s="52"/>
    </row>
    <row r="154" spans="2:8" ht="18.600000000000001">
      <c r="B154" s="53"/>
      <c r="C154" s="302" t="s">
        <v>119</v>
      </c>
      <c r="D154" s="302"/>
      <c r="E154" s="302"/>
      <c r="F154" s="302"/>
      <c r="G154" s="302"/>
      <c r="H154" s="54" t="str">
        <f>+H82</f>
        <v>Date: 05.05.2026</v>
      </c>
    </row>
    <row r="155" spans="2:8" ht="13.8">
      <c r="B155" s="53"/>
      <c r="C155" s="49"/>
      <c r="D155" s="49"/>
      <c r="E155" s="49"/>
      <c r="F155" s="49"/>
      <c r="G155" s="49"/>
      <c r="H155" s="55"/>
    </row>
    <row r="156" spans="2:8" ht="15" customHeight="1">
      <c r="B156" s="299" t="s">
        <v>120</v>
      </c>
      <c r="C156" s="300"/>
      <c r="D156" s="300"/>
      <c r="E156" s="321" t="s">
        <v>6</v>
      </c>
      <c r="F156" s="322"/>
      <c r="G156" s="322"/>
      <c r="H156" s="323"/>
    </row>
    <row r="157" spans="2:8">
      <c r="B157" s="56"/>
      <c r="C157" s="57"/>
      <c r="D157" s="51"/>
      <c r="E157" s="322"/>
      <c r="F157" s="322"/>
      <c r="G157" s="322"/>
      <c r="H157" s="323"/>
    </row>
    <row r="158" spans="2:8">
      <c r="B158" s="56"/>
      <c r="C158" s="57"/>
      <c r="D158" s="51"/>
      <c r="E158" s="322"/>
      <c r="F158" s="322"/>
      <c r="G158" s="322"/>
      <c r="H158" s="323"/>
    </row>
    <row r="159" spans="2:8">
      <c r="B159" s="58" t="s">
        <v>121</v>
      </c>
      <c r="C159" s="57"/>
      <c r="D159" s="324" t="s">
        <v>288</v>
      </c>
      <c r="E159" s="303"/>
      <c r="F159" s="303"/>
      <c r="G159" s="57"/>
      <c r="H159" s="54"/>
    </row>
    <row r="160" spans="2:8">
      <c r="B160" s="59" t="s">
        <v>123</v>
      </c>
      <c r="C160" s="60"/>
      <c r="D160" s="216" t="s">
        <v>295</v>
      </c>
      <c r="E160" s="60"/>
      <c r="F160" s="60" t="s">
        <v>124</v>
      </c>
      <c r="G160" s="60"/>
      <c r="H160" s="62" t="s">
        <v>58</v>
      </c>
    </row>
    <row r="161" spans="2:8">
      <c r="B161" s="56" t="s">
        <v>125</v>
      </c>
      <c r="C161" s="63"/>
      <c r="D161" s="64">
        <v>46139</v>
      </c>
      <c r="E161" s="63"/>
      <c r="F161" s="307" t="str">
        <f>+F89</f>
        <v>6. Wage Period: 01.04.2026 to 30.04.2026</v>
      </c>
      <c r="G161" s="307"/>
      <c r="H161" s="308"/>
    </row>
    <row r="162" spans="2:8">
      <c r="B162" s="56"/>
      <c r="C162" s="63"/>
      <c r="D162" s="63"/>
      <c r="E162" s="63"/>
      <c r="F162" s="307"/>
      <c r="G162" s="307"/>
      <c r="H162" s="65"/>
    </row>
    <row r="163" spans="2:8">
      <c r="B163" s="309" t="s">
        <v>126</v>
      </c>
      <c r="C163" s="310"/>
      <c r="D163" s="310"/>
      <c r="E163" s="310"/>
      <c r="F163" s="310"/>
      <c r="G163" s="310"/>
      <c r="H163" s="311"/>
    </row>
    <row r="164" spans="2:8">
      <c r="B164" s="312" t="s">
        <v>127</v>
      </c>
      <c r="C164" s="313"/>
      <c r="D164" s="66" t="s">
        <v>128</v>
      </c>
      <c r="E164" s="67"/>
      <c r="F164" s="314" t="str">
        <f>B164</f>
        <v>Particulars</v>
      </c>
      <c r="G164" s="315"/>
      <c r="H164" s="66" t="s">
        <v>128</v>
      </c>
    </row>
    <row r="165" spans="2:8">
      <c r="B165" s="304" t="s">
        <v>129</v>
      </c>
      <c r="C165" s="304"/>
      <c r="D165" s="69">
        <f>+'Form XXVII Register of Wages'!S11</f>
        <v>1050.6153846153845</v>
      </c>
      <c r="E165" s="70"/>
      <c r="F165" s="71"/>
      <c r="G165" s="72" t="s">
        <v>130</v>
      </c>
      <c r="H165" s="73">
        <f>D175</f>
        <v>2614</v>
      </c>
    </row>
    <row r="166" spans="2:8">
      <c r="B166" s="304" t="s">
        <v>131</v>
      </c>
      <c r="C166" s="304"/>
      <c r="D166" s="69">
        <f>+'Form XXVII Register of Wages'!T11</f>
        <v>1125.0769230769231</v>
      </c>
      <c r="E166" s="70"/>
      <c r="F166" s="74" t="s">
        <v>132</v>
      </c>
      <c r="G166" s="75" t="s">
        <v>128</v>
      </c>
      <c r="H166" s="76"/>
    </row>
    <row r="167" spans="2:8">
      <c r="B167" s="304" t="s">
        <v>133</v>
      </c>
      <c r="C167" s="304"/>
      <c r="D167" s="69">
        <f>+'Form XXVII Register of Wages'!U11</f>
        <v>438.30769230769232</v>
      </c>
      <c r="E167" s="70"/>
      <c r="F167" s="68" t="s">
        <v>134</v>
      </c>
      <c r="G167" s="90">
        <f>'Form XXVII Register of Wages'!AD116</f>
        <v>0</v>
      </c>
      <c r="H167" s="68"/>
    </row>
    <row r="168" spans="2:8">
      <c r="B168" s="316" t="s">
        <v>135</v>
      </c>
      <c r="C168" s="317"/>
      <c r="D168" s="69" t="s">
        <v>61</v>
      </c>
      <c r="E168" s="70"/>
      <c r="F168" s="68" t="s">
        <v>136</v>
      </c>
      <c r="G168" s="90">
        <f>'Form XXVII Register of Wages'!AE116</f>
        <v>0</v>
      </c>
      <c r="H168" s="68"/>
    </row>
    <row r="169" spans="2:8">
      <c r="B169" s="316" t="s">
        <v>137</v>
      </c>
      <c r="C169" s="317"/>
      <c r="D169" s="69" t="s">
        <v>61</v>
      </c>
      <c r="E169" s="70"/>
      <c r="F169" s="68" t="s">
        <v>138</v>
      </c>
      <c r="G169" s="69" t="s">
        <v>61</v>
      </c>
      <c r="H169" s="68"/>
    </row>
    <row r="170" spans="2:8">
      <c r="B170" s="316" t="s">
        <v>139</v>
      </c>
      <c r="C170" s="317"/>
      <c r="D170" s="69" t="s">
        <v>61</v>
      </c>
      <c r="E170" s="70"/>
      <c r="F170" s="68" t="s">
        <v>140</v>
      </c>
      <c r="G170" s="69" t="s">
        <v>61</v>
      </c>
      <c r="H170" s="80"/>
    </row>
    <row r="171" spans="2:8">
      <c r="B171" s="316" t="s">
        <v>141</v>
      </c>
      <c r="C171" s="317"/>
      <c r="D171" s="69" t="s">
        <v>61</v>
      </c>
      <c r="E171" s="70"/>
      <c r="F171" s="68" t="s">
        <v>142</v>
      </c>
      <c r="G171" s="69">
        <f>+'Form XXVII Register of Wages'!AG116</f>
        <v>0</v>
      </c>
      <c r="H171" s="81"/>
    </row>
    <row r="172" spans="2:8">
      <c r="B172" s="77" t="s">
        <v>143</v>
      </c>
      <c r="C172" s="78"/>
      <c r="D172" s="69">
        <f>+'Form XXVII Register of Wages'!X11</f>
        <v>0</v>
      </c>
      <c r="E172" s="70"/>
      <c r="F172" s="68" t="s">
        <v>144</v>
      </c>
      <c r="G172" s="69" t="s">
        <v>61</v>
      </c>
      <c r="H172" s="81"/>
    </row>
    <row r="173" spans="2:8">
      <c r="B173" s="304" t="s">
        <v>145</v>
      </c>
      <c r="C173" s="304"/>
      <c r="D173" s="69">
        <f>+'Form XXVII Register of Wages'!Y11</f>
        <v>0</v>
      </c>
      <c r="F173" s="74" t="s">
        <v>146</v>
      </c>
      <c r="G173" s="69">
        <f>SUM(G167:G172)</f>
        <v>0</v>
      </c>
      <c r="H173" s="73">
        <f>G173</f>
        <v>0</v>
      </c>
    </row>
    <row r="174" spans="2:8">
      <c r="B174" s="316" t="s">
        <v>147</v>
      </c>
      <c r="C174" s="317"/>
      <c r="D174" s="69" t="s">
        <v>61</v>
      </c>
      <c r="F174" s="74"/>
      <c r="G174" s="82"/>
      <c r="H174" s="91"/>
    </row>
    <row r="175" spans="2:8">
      <c r="B175" s="318" t="s">
        <v>148</v>
      </c>
      <c r="C175" s="319"/>
      <c r="D175" s="73">
        <f>SUM(D165:D174)</f>
        <v>2614</v>
      </c>
      <c r="E175" s="70"/>
      <c r="F175" s="80"/>
      <c r="G175" s="74" t="s">
        <v>149</v>
      </c>
      <c r="H175" s="73">
        <f>D175-G173</f>
        <v>2614</v>
      </c>
    </row>
    <row r="176" spans="2:8">
      <c r="B176" s="83"/>
      <c r="H176" s="84"/>
    </row>
    <row r="177" spans="2:8">
      <c r="B177" s="83"/>
      <c r="H177" s="84"/>
    </row>
    <row r="178" spans="2:8">
      <c r="B178" s="83"/>
      <c r="H178" s="84"/>
    </row>
    <row r="179" spans="2:8">
      <c r="B179" s="83"/>
      <c r="H179" s="84"/>
    </row>
    <row r="180" spans="2:8">
      <c r="B180" s="83"/>
      <c r="H180" s="84"/>
    </row>
    <row r="181" spans="2:8" ht="13.8">
      <c r="B181" s="85" t="s">
        <v>150</v>
      </c>
      <c r="C181" s="86"/>
      <c r="D181" s="86"/>
      <c r="E181" s="86"/>
      <c r="F181" s="86" t="s">
        <v>151</v>
      </c>
      <c r="G181" s="86"/>
      <c r="H181" s="87"/>
    </row>
    <row r="184" spans="2:8" ht="15.6">
      <c r="B184" s="320"/>
      <c r="C184" s="320"/>
      <c r="D184" s="320"/>
      <c r="E184" s="320"/>
      <c r="F184" s="320"/>
      <c r="G184" s="320"/>
      <c r="H184" s="320"/>
    </row>
    <row r="187" spans="2:8" ht="15.6">
      <c r="B187" s="296" t="s">
        <v>117</v>
      </c>
      <c r="C187" s="297"/>
      <c r="D187" s="297"/>
      <c r="E187" s="297"/>
      <c r="F187" s="297"/>
      <c r="G187" s="297"/>
      <c r="H187" s="298"/>
    </row>
    <row r="188" spans="2:8">
      <c r="B188" s="299" t="s">
        <v>118</v>
      </c>
      <c r="C188" s="300"/>
      <c r="D188" s="300"/>
      <c r="E188" s="300"/>
      <c r="F188" s="300"/>
      <c r="G188" s="300"/>
      <c r="H188" s="301"/>
    </row>
    <row r="189" spans="2:8">
      <c r="B189" s="50"/>
      <c r="C189" s="51"/>
      <c r="D189" s="51"/>
      <c r="E189" s="51"/>
      <c r="F189" s="51"/>
      <c r="G189" s="51"/>
      <c r="H189" s="52"/>
    </row>
    <row r="190" spans="2:8" ht="18.600000000000001">
      <c r="B190" s="53"/>
      <c r="C190" s="302" t="s">
        <v>119</v>
      </c>
      <c r="D190" s="302"/>
      <c r="E190" s="302"/>
      <c r="F190" s="302"/>
      <c r="G190" s="302"/>
      <c r="H190" s="54" t="str">
        <f>+H82</f>
        <v>Date: 05.05.2026</v>
      </c>
    </row>
    <row r="191" spans="2:8" ht="13.8">
      <c r="B191" s="53"/>
      <c r="C191" s="49"/>
      <c r="D191" s="49"/>
      <c r="E191" s="49"/>
      <c r="F191" s="49"/>
      <c r="G191" s="49"/>
      <c r="H191" s="55"/>
    </row>
    <row r="192" spans="2:8" ht="15" customHeight="1">
      <c r="B192" s="299" t="s">
        <v>120</v>
      </c>
      <c r="C192" s="300"/>
      <c r="D192" s="300"/>
      <c r="E192" s="321" t="s">
        <v>6</v>
      </c>
      <c r="F192" s="322"/>
      <c r="G192" s="322"/>
      <c r="H192" s="323"/>
    </row>
    <row r="193" spans="2:8">
      <c r="B193" s="56"/>
      <c r="C193" s="57"/>
      <c r="D193" s="51"/>
      <c r="E193" s="322"/>
      <c r="F193" s="322"/>
      <c r="G193" s="322"/>
      <c r="H193" s="323"/>
    </row>
    <row r="194" spans="2:8">
      <c r="B194" s="56"/>
      <c r="C194" s="57"/>
      <c r="D194" s="51"/>
      <c r="E194" s="322"/>
      <c r="F194" s="322"/>
      <c r="G194" s="322"/>
      <c r="H194" s="323"/>
    </row>
    <row r="195" spans="2:8">
      <c r="B195" s="58" t="s">
        <v>121</v>
      </c>
      <c r="C195" s="57"/>
      <c r="D195" s="324" t="s">
        <v>293</v>
      </c>
      <c r="E195" s="303"/>
      <c r="F195" s="303"/>
      <c r="G195" s="57"/>
      <c r="H195" s="54"/>
    </row>
    <row r="196" spans="2:8">
      <c r="B196" s="59" t="s">
        <v>123</v>
      </c>
      <c r="C196" s="60"/>
      <c r="D196" s="216" t="s">
        <v>277</v>
      </c>
      <c r="E196" s="60"/>
      <c r="F196" s="60" t="s">
        <v>124</v>
      </c>
      <c r="G196" s="60"/>
      <c r="H196" s="62" t="s">
        <v>58</v>
      </c>
    </row>
    <row r="197" spans="2:8">
      <c r="B197" s="56" t="s">
        <v>125</v>
      </c>
      <c r="C197" s="63"/>
      <c r="D197" s="64">
        <v>46136</v>
      </c>
      <c r="E197" s="63"/>
      <c r="F197" s="307" t="str">
        <f>+F89</f>
        <v>6. Wage Period: 01.04.2026 to 30.04.2026</v>
      </c>
      <c r="G197" s="307"/>
      <c r="H197" s="308"/>
    </row>
    <row r="198" spans="2:8">
      <c r="B198" s="56"/>
      <c r="C198" s="63"/>
      <c r="D198" s="63"/>
      <c r="E198" s="63"/>
      <c r="F198" s="307"/>
      <c r="G198" s="307"/>
      <c r="H198" s="65"/>
    </row>
    <row r="199" spans="2:8">
      <c r="B199" s="309" t="s">
        <v>126</v>
      </c>
      <c r="C199" s="310"/>
      <c r="D199" s="310"/>
      <c r="E199" s="310"/>
      <c r="F199" s="310"/>
      <c r="G199" s="310"/>
      <c r="H199" s="311"/>
    </row>
    <row r="200" spans="2:8">
      <c r="B200" s="312" t="s">
        <v>127</v>
      </c>
      <c r="C200" s="313"/>
      <c r="D200" s="66" t="s">
        <v>128</v>
      </c>
      <c r="E200" s="67"/>
      <c r="F200" s="314" t="str">
        <f>B200</f>
        <v>Particulars</v>
      </c>
      <c r="G200" s="315"/>
      <c r="H200" s="66" t="s">
        <v>128</v>
      </c>
    </row>
    <row r="201" spans="2:8">
      <c r="B201" s="304" t="s">
        <v>129</v>
      </c>
      <c r="C201" s="304"/>
      <c r="D201" s="90">
        <f>+'Form XXVII Register of Wages'!S12</f>
        <v>1313.2692307692307</v>
      </c>
      <c r="E201" s="70"/>
      <c r="F201" s="71"/>
      <c r="G201" s="72" t="s">
        <v>130</v>
      </c>
      <c r="H201" s="73">
        <f>D211</f>
        <v>3267.5</v>
      </c>
    </row>
    <row r="202" spans="2:8">
      <c r="B202" s="304" t="s">
        <v>131</v>
      </c>
      <c r="C202" s="304"/>
      <c r="D202" s="90">
        <f>+'Form XXVII Register of Wages'!T12</f>
        <v>1406.3461538461538</v>
      </c>
      <c r="E202" s="70"/>
      <c r="F202" s="74" t="s">
        <v>132</v>
      </c>
      <c r="G202" s="75" t="s">
        <v>128</v>
      </c>
      <c r="H202" s="91"/>
    </row>
    <row r="203" spans="2:8">
      <c r="B203" s="304" t="s">
        <v>133</v>
      </c>
      <c r="C203" s="304"/>
      <c r="D203" s="90">
        <f>+'Form XXVII Register of Wages'!U12</f>
        <v>547.88461538461536</v>
      </c>
      <c r="E203" s="70"/>
      <c r="F203" s="68" t="s">
        <v>134</v>
      </c>
      <c r="G203" s="90">
        <f>'Form XXVII Register of Wages'!AD117</f>
        <v>0</v>
      </c>
      <c r="H203" s="100"/>
    </row>
    <row r="204" spans="2:8">
      <c r="B204" s="316" t="s">
        <v>135</v>
      </c>
      <c r="C204" s="317"/>
      <c r="D204" s="69" t="s">
        <v>61</v>
      </c>
      <c r="E204" s="70"/>
      <c r="F204" s="68" t="s">
        <v>136</v>
      </c>
      <c r="G204" s="90">
        <f>'Form XXVII Register of Wages'!AE117</f>
        <v>0</v>
      </c>
      <c r="H204" s="100"/>
    </row>
    <row r="205" spans="2:8">
      <c r="B205" s="316" t="s">
        <v>137</v>
      </c>
      <c r="C205" s="317"/>
      <c r="D205" s="69" t="s">
        <v>61</v>
      </c>
      <c r="E205" s="70"/>
      <c r="F205" s="68" t="s">
        <v>138</v>
      </c>
      <c r="G205" s="69" t="s">
        <v>61</v>
      </c>
      <c r="H205" s="100"/>
    </row>
    <row r="206" spans="2:8">
      <c r="B206" s="316" t="s">
        <v>139</v>
      </c>
      <c r="C206" s="317"/>
      <c r="D206" s="69" t="s">
        <v>61</v>
      </c>
      <c r="E206" s="70"/>
      <c r="F206" s="68" t="s">
        <v>140</v>
      </c>
      <c r="G206" s="69">
        <f>+'Form XXVII Register of Wages'!AG117</f>
        <v>0</v>
      </c>
      <c r="H206" s="90"/>
    </row>
    <row r="207" spans="2:8">
      <c r="B207" s="316" t="s">
        <v>141</v>
      </c>
      <c r="C207" s="317"/>
      <c r="D207" s="69" t="s">
        <v>61</v>
      </c>
      <c r="E207" s="70"/>
      <c r="F207" s="68" t="s">
        <v>142</v>
      </c>
      <c r="G207" s="69" t="s">
        <v>61</v>
      </c>
      <c r="H207" s="100"/>
    </row>
    <row r="208" spans="2:8">
      <c r="B208" s="77" t="s">
        <v>143</v>
      </c>
      <c r="C208" s="78"/>
      <c r="D208" s="90">
        <f>'Form XXVII Register of Wages'!X117</f>
        <v>0</v>
      </c>
      <c r="E208" s="70"/>
      <c r="F208" s="68" t="s">
        <v>144</v>
      </c>
      <c r="G208" s="69" t="s">
        <v>61</v>
      </c>
      <c r="H208" s="100"/>
    </row>
    <row r="209" spans="2:8">
      <c r="B209" s="304" t="s">
        <v>145</v>
      </c>
      <c r="C209" s="304"/>
      <c r="D209" s="69">
        <f>'Form XXVII Register of Wages'!Y117</f>
        <v>0</v>
      </c>
      <c r="F209" s="74" t="s">
        <v>146</v>
      </c>
      <c r="G209" s="69">
        <f>SUM(G203:G208)</f>
        <v>0</v>
      </c>
      <c r="H209" s="73">
        <f>G209</f>
        <v>0</v>
      </c>
    </row>
    <row r="210" spans="2:8">
      <c r="B210" s="316" t="s">
        <v>147</v>
      </c>
      <c r="C210" s="317"/>
      <c r="D210" s="69" t="s">
        <v>61</v>
      </c>
      <c r="F210" s="74"/>
      <c r="G210" s="82"/>
      <c r="H210" s="91"/>
    </row>
    <row r="211" spans="2:8">
      <c r="B211" s="318" t="s">
        <v>148</v>
      </c>
      <c r="C211" s="319"/>
      <c r="D211" s="73">
        <f>SUM(D201:D210)</f>
        <v>3267.5</v>
      </c>
      <c r="E211" s="70"/>
      <c r="F211" s="80"/>
      <c r="G211" s="74" t="s">
        <v>149</v>
      </c>
      <c r="H211" s="73">
        <f>D211-G209</f>
        <v>3267.5</v>
      </c>
    </row>
    <row r="212" spans="2:8">
      <c r="B212" s="83"/>
      <c r="H212" s="84"/>
    </row>
    <row r="213" spans="2:8">
      <c r="B213" s="83"/>
      <c r="H213" s="84"/>
    </row>
    <row r="214" spans="2:8">
      <c r="B214" s="83"/>
      <c r="H214" s="84"/>
    </row>
    <row r="215" spans="2:8">
      <c r="B215" s="83"/>
      <c r="H215" s="84"/>
    </row>
    <row r="216" spans="2:8">
      <c r="B216" s="83"/>
      <c r="H216" s="84"/>
    </row>
    <row r="217" spans="2:8" ht="13.8">
      <c r="B217" s="85" t="s">
        <v>150</v>
      </c>
      <c r="C217" s="86"/>
      <c r="D217" s="86"/>
      <c r="E217" s="86"/>
      <c r="F217" s="86" t="s">
        <v>151</v>
      </c>
      <c r="G217" s="86"/>
      <c r="H217" s="87"/>
    </row>
  </sheetData>
  <sheetProtection selectLockedCells="1" selectUnlockedCells="1"/>
  <mergeCells count="139">
    <mergeCell ref="B206:C206"/>
    <mergeCell ref="B207:C207"/>
    <mergeCell ref="B209:C209"/>
    <mergeCell ref="B210:C210"/>
    <mergeCell ref="B211:C211"/>
    <mergeCell ref="B201:C201"/>
    <mergeCell ref="B202:C202"/>
    <mergeCell ref="B203:C203"/>
    <mergeCell ref="B204:C204"/>
    <mergeCell ref="B205:C205"/>
    <mergeCell ref="D195:F195"/>
    <mergeCell ref="F197:H197"/>
    <mergeCell ref="F198:G198"/>
    <mergeCell ref="B199:H199"/>
    <mergeCell ref="B200:C200"/>
    <mergeCell ref="F200:G200"/>
    <mergeCell ref="B184:H184"/>
    <mergeCell ref="B187:H187"/>
    <mergeCell ref="B188:H188"/>
    <mergeCell ref="C190:G190"/>
    <mergeCell ref="B192:D192"/>
    <mergeCell ref="E192:H194"/>
    <mergeCell ref="B170:C170"/>
    <mergeCell ref="B171:C171"/>
    <mergeCell ref="B173:C173"/>
    <mergeCell ref="B174:C174"/>
    <mergeCell ref="B175:C175"/>
    <mergeCell ref="B165:C165"/>
    <mergeCell ref="B166:C166"/>
    <mergeCell ref="B167:C167"/>
    <mergeCell ref="B168:C168"/>
    <mergeCell ref="B169:C169"/>
    <mergeCell ref="D159:F159"/>
    <mergeCell ref="F161:H161"/>
    <mergeCell ref="F162:G162"/>
    <mergeCell ref="B163:H163"/>
    <mergeCell ref="B164:C164"/>
    <mergeCell ref="F164:G164"/>
    <mergeCell ref="B147:H147"/>
    <mergeCell ref="B151:H151"/>
    <mergeCell ref="B152:H152"/>
    <mergeCell ref="C154:G154"/>
    <mergeCell ref="B156:D156"/>
    <mergeCell ref="E156:H158"/>
    <mergeCell ref="B133:C133"/>
    <mergeCell ref="B134:C134"/>
    <mergeCell ref="B136:C136"/>
    <mergeCell ref="B137:C137"/>
    <mergeCell ref="B138:C138"/>
    <mergeCell ref="B128:C128"/>
    <mergeCell ref="B129:C129"/>
    <mergeCell ref="B130:C130"/>
    <mergeCell ref="B131:C131"/>
    <mergeCell ref="B132:C132"/>
    <mergeCell ref="D122:F122"/>
    <mergeCell ref="F124:H124"/>
    <mergeCell ref="F125:G125"/>
    <mergeCell ref="B126:H126"/>
    <mergeCell ref="B127:C127"/>
    <mergeCell ref="F127:G127"/>
    <mergeCell ref="B114:H114"/>
    <mergeCell ref="B115:H115"/>
    <mergeCell ref="C117:G117"/>
    <mergeCell ref="B119:D119"/>
    <mergeCell ref="E119:H121"/>
    <mergeCell ref="B112:H112"/>
    <mergeCell ref="E42:H44"/>
    <mergeCell ref="E7:H9"/>
    <mergeCell ref="E84:H86"/>
    <mergeCell ref="B98:C98"/>
    <mergeCell ref="B99:C99"/>
    <mergeCell ref="B101:C101"/>
    <mergeCell ref="B102:C102"/>
    <mergeCell ref="B103:C103"/>
    <mergeCell ref="B93:C93"/>
    <mergeCell ref="B94:C94"/>
    <mergeCell ref="B95:C95"/>
    <mergeCell ref="B96:C96"/>
    <mergeCell ref="B97:C97"/>
    <mergeCell ref="D87:F87"/>
    <mergeCell ref="F89:H89"/>
    <mergeCell ref="F90:G90"/>
    <mergeCell ref="B91:H91"/>
    <mergeCell ref="B92:C92"/>
    <mergeCell ref="F92:G92"/>
    <mergeCell ref="B76:H76"/>
    <mergeCell ref="B79:H79"/>
    <mergeCell ref="B80:H80"/>
    <mergeCell ref="C82:G82"/>
    <mergeCell ref="B84:D84"/>
    <mergeCell ref="B70:H70"/>
    <mergeCell ref="B56:C56"/>
    <mergeCell ref="B57:C57"/>
    <mergeCell ref="B59:C59"/>
    <mergeCell ref="B60:C60"/>
    <mergeCell ref="B61:C61"/>
    <mergeCell ref="B51:C51"/>
    <mergeCell ref="B52:C52"/>
    <mergeCell ref="B53:C53"/>
    <mergeCell ref="B54:C54"/>
    <mergeCell ref="B55:C55"/>
    <mergeCell ref="D45:F45"/>
    <mergeCell ref="F47:H47"/>
    <mergeCell ref="F48:G48"/>
    <mergeCell ref="B49:H49"/>
    <mergeCell ref="B50:C50"/>
    <mergeCell ref="F50:G50"/>
    <mergeCell ref="B35:H35"/>
    <mergeCell ref="B37:H37"/>
    <mergeCell ref="B38:H38"/>
    <mergeCell ref="C40:G40"/>
    <mergeCell ref="B42:D42"/>
    <mergeCell ref="B25:C25"/>
    <mergeCell ref="J25:K25"/>
    <mergeCell ref="B26:C26"/>
    <mergeCell ref="B19:C19"/>
    <mergeCell ref="B20:C20"/>
    <mergeCell ref="B21:C21"/>
    <mergeCell ref="J21:K21"/>
    <mergeCell ref="B22:C22"/>
    <mergeCell ref="J22:K22"/>
    <mergeCell ref="B18:C18"/>
    <mergeCell ref="J18:K18"/>
    <mergeCell ref="F12:H12"/>
    <mergeCell ref="F13:G13"/>
    <mergeCell ref="B14:H14"/>
    <mergeCell ref="B15:C15"/>
    <mergeCell ref="F15:G15"/>
    <mergeCell ref="B24:C24"/>
    <mergeCell ref="J24:K24"/>
    <mergeCell ref="B2:H2"/>
    <mergeCell ref="B3:H3"/>
    <mergeCell ref="C5:G5"/>
    <mergeCell ref="B7:D7"/>
    <mergeCell ref="D10:F10"/>
    <mergeCell ref="B16:C16"/>
    <mergeCell ref="J16:K16"/>
    <mergeCell ref="B17:C17"/>
    <mergeCell ref="J17:K17"/>
  </mergeCells>
  <printOptions horizontalCentered="1" verticalCentered="1"/>
  <pageMargins left="0.31496062992125984" right="0.11811023622047245" top="0.15748031496062992" bottom="0.15748031496062992" header="0.31496062992125984" footer="0.31496062992125984"/>
  <pageSetup paperSize="9" scale="45" firstPageNumber="0" orientation="portrait" useFirstPageNumber="1" horizontalDpi="300" verticalDpi="300" r:id="rId1"/>
  <headerFooter alignWithMargins="0">
    <oddFooter>&amp;C&amp;1#&amp;"Calibri"&amp;9&amp;K000000 Internal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2"/>
  <sheetViews>
    <sheetView topLeftCell="A2" zoomScale="71" zoomScaleNormal="100" zoomScaleSheetLayoutView="100" workbookViewId="0">
      <selection activeCell="E7" sqref="E7"/>
    </sheetView>
  </sheetViews>
  <sheetFormatPr defaultColWidth="9.109375" defaultRowHeight="13.8"/>
  <cols>
    <col min="1" max="1" width="3.5546875" style="31" customWidth="1"/>
    <col min="2" max="2" width="11.44140625" style="31" customWidth="1"/>
    <col min="3" max="3" width="31.109375" style="31" customWidth="1"/>
    <col min="4" max="4" width="18.5546875" style="31" customWidth="1"/>
    <col min="5" max="5" width="21" style="31" customWidth="1"/>
    <col min="6" max="6" width="7" style="31" customWidth="1"/>
    <col min="7" max="16" width="6.44140625" style="31" customWidth="1"/>
    <col min="17" max="17" width="13.5546875" style="31" customWidth="1"/>
    <col min="18" max="18" width="6.44140625" style="31" customWidth="1"/>
    <col min="19" max="19" width="9.44140625" style="31" customWidth="1"/>
    <col min="20" max="20" width="7.88671875" style="31" customWidth="1"/>
    <col min="21" max="16384" width="9.109375" style="31"/>
  </cols>
  <sheetData>
    <row r="1" spans="1:20" ht="33.75" customHeight="1">
      <c r="A1" s="325" t="s">
        <v>153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</row>
    <row r="2" spans="1:20" ht="30.75" customHeight="1">
      <c r="A2" s="326" t="s">
        <v>154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8"/>
    </row>
    <row r="3" spans="1:20" ht="54.9" customHeight="1">
      <c r="A3" s="329" t="s">
        <v>155</v>
      </c>
      <c r="B3" s="330"/>
      <c r="C3" s="331"/>
      <c r="D3" s="332" t="s">
        <v>156</v>
      </c>
      <c r="E3" s="333"/>
      <c r="F3" s="333"/>
      <c r="G3" s="333"/>
      <c r="H3" s="333"/>
      <c r="I3" s="333"/>
      <c r="J3" s="333"/>
      <c r="K3" s="333"/>
      <c r="L3" s="333"/>
      <c r="M3" s="333"/>
      <c r="N3" s="334"/>
      <c r="O3" s="42" t="s">
        <v>1</v>
      </c>
      <c r="P3" s="42"/>
      <c r="Q3" s="201" t="s">
        <v>291</v>
      </c>
      <c r="R3" s="335" t="s">
        <v>43</v>
      </c>
      <c r="S3" s="336"/>
      <c r="T3" s="43">
        <v>2026</v>
      </c>
    </row>
    <row r="4" spans="1:20" ht="78.75" customHeight="1">
      <c r="A4" s="329" t="s">
        <v>157</v>
      </c>
      <c r="B4" s="330"/>
      <c r="C4" s="331"/>
      <c r="D4" s="337" t="s">
        <v>42</v>
      </c>
      <c r="E4" s="337"/>
      <c r="F4" s="338" t="s">
        <v>158</v>
      </c>
      <c r="G4" s="338"/>
      <c r="H4" s="338"/>
      <c r="I4" s="339"/>
      <c r="J4" s="340" t="s">
        <v>159</v>
      </c>
      <c r="K4" s="338"/>
      <c r="L4" s="338"/>
      <c r="M4" s="338"/>
      <c r="N4" s="339"/>
      <c r="O4" s="341" t="s">
        <v>160</v>
      </c>
      <c r="P4" s="341"/>
      <c r="Q4" s="341"/>
      <c r="R4" s="341"/>
      <c r="S4" s="44"/>
      <c r="T4" s="45"/>
    </row>
    <row r="5" spans="1:20" s="30" customFormat="1" ht="125.1" customHeight="1">
      <c r="A5" s="32" t="s">
        <v>161</v>
      </c>
      <c r="B5" s="32" t="s">
        <v>162</v>
      </c>
      <c r="C5" s="32" t="s">
        <v>163</v>
      </c>
      <c r="D5" s="32" t="s">
        <v>164</v>
      </c>
      <c r="E5" s="32" t="s">
        <v>165</v>
      </c>
      <c r="F5" s="33" t="s">
        <v>166</v>
      </c>
      <c r="G5" s="34" t="s">
        <v>167</v>
      </c>
      <c r="H5" s="34" t="s">
        <v>168</v>
      </c>
      <c r="I5" s="34" t="s">
        <v>169</v>
      </c>
      <c r="J5" s="33" t="s">
        <v>170</v>
      </c>
      <c r="K5" s="34" t="s">
        <v>171</v>
      </c>
      <c r="L5" s="34" t="s">
        <v>172</v>
      </c>
      <c r="M5" s="34" t="s">
        <v>173</v>
      </c>
      <c r="N5" s="34" t="s">
        <v>174</v>
      </c>
      <c r="O5" s="33" t="s">
        <v>175</v>
      </c>
      <c r="P5" s="34" t="s">
        <v>176</v>
      </c>
      <c r="Q5" s="34" t="s">
        <v>177</v>
      </c>
      <c r="R5" s="34" t="s">
        <v>178</v>
      </c>
      <c r="S5" s="33" t="s">
        <v>179</v>
      </c>
      <c r="T5" s="32" t="s">
        <v>180</v>
      </c>
    </row>
    <row r="6" spans="1:20" ht="19.5" customHeight="1">
      <c r="A6" s="193" t="s">
        <v>181</v>
      </c>
      <c r="B6" s="35"/>
      <c r="C6" s="193" t="s">
        <v>182</v>
      </c>
      <c r="D6" s="193" t="s">
        <v>183</v>
      </c>
      <c r="E6" s="193" t="s">
        <v>184</v>
      </c>
      <c r="F6" s="193" t="s">
        <v>185</v>
      </c>
      <c r="G6" s="193" t="s">
        <v>186</v>
      </c>
      <c r="H6" s="193" t="s">
        <v>187</v>
      </c>
      <c r="I6" s="193" t="s">
        <v>188</v>
      </c>
      <c r="J6" s="193" t="s">
        <v>189</v>
      </c>
      <c r="K6" s="193" t="s">
        <v>190</v>
      </c>
      <c r="L6" s="193" t="s">
        <v>191</v>
      </c>
      <c r="M6" s="193" t="s">
        <v>192</v>
      </c>
      <c r="N6" s="193" t="s">
        <v>193</v>
      </c>
      <c r="O6" s="193" t="s">
        <v>194</v>
      </c>
      <c r="P6" s="193" t="s">
        <v>195</v>
      </c>
      <c r="Q6" s="193" t="s">
        <v>196</v>
      </c>
      <c r="R6" s="193" t="s">
        <v>197</v>
      </c>
      <c r="S6" s="193" t="s">
        <v>198</v>
      </c>
      <c r="T6" s="193" t="s">
        <v>199</v>
      </c>
    </row>
    <row r="7" spans="1:20" ht="28.5" customHeight="1">
      <c r="A7" s="36">
        <v>1</v>
      </c>
      <c r="B7" s="37"/>
      <c r="C7" s="38"/>
      <c r="D7" s="39"/>
      <c r="E7" s="40"/>
      <c r="F7" s="35" t="s">
        <v>200</v>
      </c>
      <c r="G7" s="35" t="s">
        <v>200</v>
      </c>
      <c r="H7" s="35" t="s">
        <v>200</v>
      </c>
      <c r="I7" s="35" t="s">
        <v>200</v>
      </c>
      <c r="J7" s="35" t="s">
        <v>200</v>
      </c>
      <c r="K7" s="35" t="s">
        <v>200</v>
      </c>
      <c r="L7" s="35" t="s">
        <v>200</v>
      </c>
      <c r="M7" s="35" t="s">
        <v>200</v>
      </c>
      <c r="N7" s="35" t="s">
        <v>200</v>
      </c>
      <c r="O7" s="35" t="s">
        <v>200</v>
      </c>
      <c r="P7" s="35" t="s">
        <v>200</v>
      </c>
      <c r="Q7" s="35" t="s">
        <v>200</v>
      </c>
      <c r="R7" s="35" t="s">
        <v>200</v>
      </c>
      <c r="S7" s="46"/>
      <c r="T7" s="46"/>
    </row>
    <row r="8" spans="1:20" ht="28.5" customHeight="1">
      <c r="A8" s="36">
        <f t="shared" ref="A8:A12" si="0">+A7+1</f>
        <v>2</v>
      </c>
      <c r="B8" s="202"/>
      <c r="C8" s="38"/>
      <c r="D8" s="9"/>
      <c r="E8" s="40"/>
      <c r="F8" s="35" t="s">
        <v>200</v>
      </c>
      <c r="G8" s="35" t="s">
        <v>200</v>
      </c>
      <c r="H8" s="35" t="s">
        <v>200</v>
      </c>
      <c r="I8" s="35" t="s">
        <v>200</v>
      </c>
      <c r="J8" s="35" t="s">
        <v>200</v>
      </c>
      <c r="K8" s="35" t="s">
        <v>200</v>
      </c>
      <c r="L8" s="35" t="s">
        <v>200</v>
      </c>
      <c r="M8" s="35" t="s">
        <v>200</v>
      </c>
      <c r="N8" s="35" t="s">
        <v>200</v>
      </c>
      <c r="O8" s="35" t="s">
        <v>200</v>
      </c>
      <c r="P8" s="35" t="s">
        <v>200</v>
      </c>
      <c r="Q8" s="35" t="s">
        <v>200</v>
      </c>
      <c r="R8" s="35" t="s">
        <v>200</v>
      </c>
      <c r="S8" s="46"/>
      <c r="T8" s="46"/>
    </row>
    <row r="9" spans="1:20" ht="28.5" customHeight="1">
      <c r="A9" s="36">
        <f>A8+1</f>
        <v>3</v>
      </c>
      <c r="B9" s="202"/>
      <c r="C9" s="206"/>
      <c r="D9" s="212"/>
      <c r="E9" s="40"/>
      <c r="F9" s="35" t="s">
        <v>200</v>
      </c>
      <c r="G9" s="35" t="s">
        <v>200</v>
      </c>
      <c r="H9" s="35" t="s">
        <v>200</v>
      </c>
      <c r="I9" s="35" t="s">
        <v>200</v>
      </c>
      <c r="J9" s="35" t="s">
        <v>200</v>
      </c>
      <c r="K9" s="35" t="s">
        <v>200</v>
      </c>
      <c r="L9" s="35" t="s">
        <v>200</v>
      </c>
      <c r="M9" s="35" t="s">
        <v>200</v>
      </c>
      <c r="N9" s="35" t="s">
        <v>200</v>
      </c>
      <c r="O9" s="35" t="s">
        <v>200</v>
      </c>
      <c r="P9" s="35" t="s">
        <v>200</v>
      </c>
      <c r="Q9" s="35" t="s">
        <v>200</v>
      </c>
      <c r="R9" s="35" t="s">
        <v>200</v>
      </c>
      <c r="S9" s="46"/>
      <c r="T9" s="46"/>
    </row>
    <row r="10" spans="1:20" ht="28.5" customHeight="1">
      <c r="A10" s="36">
        <f t="shared" si="0"/>
        <v>4</v>
      </c>
      <c r="B10" s="202"/>
      <c r="C10" s="206"/>
      <c r="D10" s="212"/>
      <c r="E10" s="40"/>
      <c r="F10" s="35" t="s">
        <v>200</v>
      </c>
      <c r="G10" s="35" t="s">
        <v>200</v>
      </c>
      <c r="H10" s="35" t="s">
        <v>200</v>
      </c>
      <c r="I10" s="35" t="s">
        <v>200</v>
      </c>
      <c r="J10" s="35" t="s">
        <v>200</v>
      </c>
      <c r="K10" s="35" t="s">
        <v>200</v>
      </c>
      <c r="L10" s="35" t="s">
        <v>200</v>
      </c>
      <c r="M10" s="35" t="s">
        <v>200</v>
      </c>
      <c r="N10" s="35" t="s">
        <v>200</v>
      </c>
      <c r="O10" s="35" t="s">
        <v>200</v>
      </c>
      <c r="P10" s="35" t="s">
        <v>200</v>
      </c>
      <c r="Q10" s="35" t="s">
        <v>200</v>
      </c>
      <c r="R10" s="35" t="s">
        <v>200</v>
      </c>
      <c r="S10" s="46"/>
      <c r="T10" s="46"/>
    </row>
    <row r="11" spans="1:20" ht="28.5" customHeight="1">
      <c r="A11" s="36">
        <f t="shared" si="0"/>
        <v>5</v>
      </c>
      <c r="B11" s="202"/>
      <c r="C11" s="206"/>
      <c r="D11" s="212"/>
      <c r="E11" s="40"/>
      <c r="F11" s="35" t="s">
        <v>200</v>
      </c>
      <c r="G11" s="35" t="s">
        <v>200</v>
      </c>
      <c r="H11" s="35" t="s">
        <v>200</v>
      </c>
      <c r="I11" s="35" t="s">
        <v>200</v>
      </c>
      <c r="J11" s="35" t="s">
        <v>200</v>
      </c>
      <c r="K11" s="35" t="s">
        <v>200</v>
      </c>
      <c r="L11" s="35" t="s">
        <v>200</v>
      </c>
      <c r="M11" s="35" t="s">
        <v>200</v>
      </c>
      <c r="N11" s="35" t="s">
        <v>200</v>
      </c>
      <c r="O11" s="35" t="s">
        <v>200</v>
      </c>
      <c r="P11" s="35" t="s">
        <v>200</v>
      </c>
      <c r="Q11" s="35" t="s">
        <v>200</v>
      </c>
      <c r="R11" s="35" t="s">
        <v>200</v>
      </c>
      <c r="S11" s="46"/>
      <c r="T11" s="46"/>
    </row>
    <row r="12" spans="1:20" ht="28.5" customHeight="1">
      <c r="A12" s="36">
        <f t="shared" si="0"/>
        <v>6</v>
      </c>
      <c r="B12" s="202"/>
      <c r="C12" s="206"/>
      <c r="D12" s="212"/>
      <c r="E12" s="40"/>
      <c r="F12" s="35" t="s">
        <v>200</v>
      </c>
      <c r="G12" s="35" t="s">
        <v>200</v>
      </c>
      <c r="H12" s="35" t="s">
        <v>200</v>
      </c>
      <c r="I12" s="35" t="s">
        <v>200</v>
      </c>
      <c r="J12" s="35" t="s">
        <v>200</v>
      </c>
      <c r="K12" s="35" t="s">
        <v>200</v>
      </c>
      <c r="L12" s="35" t="s">
        <v>200</v>
      </c>
      <c r="M12" s="35" t="s">
        <v>200</v>
      </c>
      <c r="N12" s="35" t="s">
        <v>200</v>
      </c>
      <c r="O12" s="35" t="s">
        <v>200</v>
      </c>
      <c r="P12" s="35" t="s">
        <v>200</v>
      </c>
      <c r="Q12" s="35" t="s">
        <v>200</v>
      </c>
      <c r="R12" s="35" t="s">
        <v>200</v>
      </c>
      <c r="S12" s="46"/>
      <c r="T12" s="46"/>
    </row>
  </sheetData>
  <mergeCells count="10">
    <mergeCell ref="A4:C4"/>
    <mergeCell ref="D4:E4"/>
    <mergeCell ref="F4:I4"/>
    <mergeCell ref="J4:N4"/>
    <mergeCell ref="O4:R4"/>
    <mergeCell ref="A1:T1"/>
    <mergeCell ref="A2:T2"/>
    <mergeCell ref="A3:C3"/>
    <mergeCell ref="D3:N3"/>
    <mergeCell ref="R3:S3"/>
  </mergeCells>
  <printOptions horizontalCentered="1" verticalCentered="1" gridLines="1"/>
  <pageMargins left="0.70866141732283505" right="0.70866141732283505" top="0.74803149606299202" bottom="0.74803149606299202" header="0.31496062992126" footer="0.31496062992126"/>
  <pageSetup paperSize="9" scale="68" fitToHeight="0" orientation="landscape" r:id="rId1"/>
  <headerFooter alignWithMargins="0">
    <oddFooter>&amp;C&amp;1#&amp;"Calibri"&amp;9&amp;K000000 Internal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X19"/>
  <sheetViews>
    <sheetView topLeftCell="A5" zoomScaleNormal="100" zoomScaleSheetLayoutView="100" workbookViewId="0">
      <selection activeCell="N12" sqref="N12"/>
    </sheetView>
  </sheetViews>
  <sheetFormatPr defaultColWidth="9" defaultRowHeight="13.8"/>
  <cols>
    <col min="1" max="1" width="8.88671875" customWidth="1"/>
    <col min="2" max="2" width="9.88671875" customWidth="1"/>
    <col min="3" max="3" width="11.5546875" customWidth="1"/>
    <col min="4" max="4" width="20.5546875" customWidth="1"/>
    <col min="5" max="6" width="6.5546875" customWidth="1"/>
    <col min="7" max="7" width="9.6640625" customWidth="1"/>
    <col min="8" max="9" width="12" customWidth="1"/>
    <col min="10" max="10" width="20.5546875" customWidth="1"/>
    <col min="11" max="11" width="11.44140625" customWidth="1"/>
  </cols>
  <sheetData>
    <row r="2" spans="2:24" ht="15" customHeight="1">
      <c r="C2" s="18"/>
      <c r="D2" s="18"/>
      <c r="E2" s="18"/>
      <c r="F2" s="18"/>
      <c r="G2" s="18"/>
      <c r="H2" s="18"/>
      <c r="I2" s="18"/>
      <c r="J2" s="18"/>
      <c r="K2" s="1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>
      <c r="B3" s="18"/>
      <c r="C3" s="18"/>
      <c r="D3" s="18"/>
      <c r="E3" s="18"/>
      <c r="F3" s="18"/>
      <c r="G3" s="18"/>
      <c r="H3" s="18"/>
      <c r="I3" s="18"/>
      <c r="J3" s="18"/>
      <c r="K3" s="1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61.5" customHeight="1">
      <c r="B4" s="231" t="s">
        <v>201</v>
      </c>
      <c r="C4" s="231"/>
      <c r="D4" s="231"/>
      <c r="E4" s="231"/>
      <c r="F4" s="231"/>
      <c r="G4" s="231"/>
      <c r="H4" s="231"/>
      <c r="I4" s="231"/>
      <c r="J4" s="231"/>
      <c r="K4" s="23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46.5" customHeight="1">
      <c r="B5" s="342" t="s">
        <v>202</v>
      </c>
      <c r="C5" s="343"/>
      <c r="D5" s="343"/>
      <c r="E5" s="343"/>
      <c r="F5" s="343"/>
      <c r="G5" s="343"/>
      <c r="H5" s="343"/>
      <c r="I5" s="343"/>
      <c r="J5" s="343"/>
      <c r="K5" s="343"/>
      <c r="L5" s="2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>
      <c r="B6" s="347" t="s">
        <v>1</v>
      </c>
      <c r="C6" s="348" t="s">
        <v>203</v>
      </c>
      <c r="D6" s="348" t="s">
        <v>204</v>
      </c>
      <c r="E6" s="344" t="s">
        <v>88</v>
      </c>
      <c r="F6" s="345"/>
      <c r="G6" s="345"/>
      <c r="H6" s="345"/>
      <c r="I6" s="346"/>
      <c r="J6" s="348" t="s">
        <v>205</v>
      </c>
      <c r="K6" s="348" t="s">
        <v>206</v>
      </c>
    </row>
    <row r="7" spans="2:24" ht="81" customHeight="1">
      <c r="B7" s="347"/>
      <c r="C7" s="348"/>
      <c r="D7" s="348"/>
      <c r="E7" s="21" t="s">
        <v>207</v>
      </c>
      <c r="F7" s="21" t="s">
        <v>109</v>
      </c>
      <c r="G7" s="20" t="s">
        <v>208</v>
      </c>
      <c r="H7" s="20" t="s">
        <v>209</v>
      </c>
      <c r="I7" s="20" t="s">
        <v>210</v>
      </c>
      <c r="J7" s="348"/>
      <c r="K7" s="348"/>
    </row>
    <row r="8" spans="2:24" ht="21.9" customHeight="1">
      <c r="B8" s="25">
        <v>46023</v>
      </c>
      <c r="C8" s="26">
        <v>4</v>
      </c>
      <c r="D8" s="27">
        <v>70213</v>
      </c>
      <c r="E8" s="27">
        <v>6054</v>
      </c>
      <c r="F8" s="27">
        <v>518</v>
      </c>
      <c r="G8" s="27"/>
      <c r="H8" s="26"/>
      <c r="I8" s="26"/>
      <c r="J8" s="27">
        <f>+D8-E8-F8</f>
        <v>63641</v>
      </c>
      <c r="K8" s="23" t="s">
        <v>61</v>
      </c>
    </row>
    <row r="9" spans="2:24" ht="21.9" customHeight="1">
      <c r="B9" s="25">
        <v>46054</v>
      </c>
      <c r="C9" s="26">
        <v>4</v>
      </c>
      <c r="D9" s="27">
        <v>65134.307692307688</v>
      </c>
      <c r="E9" s="27">
        <v>5876</v>
      </c>
      <c r="F9" s="27">
        <v>490</v>
      </c>
      <c r="G9" s="27"/>
      <c r="H9" s="26"/>
      <c r="I9" s="26"/>
      <c r="J9" s="27">
        <f>+D9-E9-F9</f>
        <v>58768.307692307688</v>
      </c>
      <c r="K9" s="23" t="s">
        <v>61</v>
      </c>
    </row>
    <row r="10" spans="2:24" ht="21.9" customHeight="1">
      <c r="B10" s="25">
        <v>46082</v>
      </c>
      <c r="C10" s="26">
        <v>4</v>
      </c>
      <c r="D10" s="27">
        <v>71288</v>
      </c>
      <c r="E10" s="27">
        <v>6922</v>
      </c>
      <c r="F10" s="27">
        <v>537</v>
      </c>
      <c r="G10" s="26"/>
      <c r="H10" s="26"/>
      <c r="I10" s="26"/>
      <c r="J10" s="27">
        <f>+D10-E10-F10</f>
        <v>63829</v>
      </c>
      <c r="K10" s="23" t="s">
        <v>61</v>
      </c>
    </row>
    <row r="11" spans="2:24" ht="21.9" customHeight="1">
      <c r="B11" s="25">
        <v>46113</v>
      </c>
      <c r="C11" s="26">
        <v>7</v>
      </c>
      <c r="D11" s="27">
        <v>48775.25</v>
      </c>
      <c r="E11" s="27">
        <v>3275</v>
      </c>
      <c r="F11" s="27">
        <v>257</v>
      </c>
      <c r="G11" s="26"/>
      <c r="H11" s="26"/>
      <c r="I11" s="26"/>
      <c r="J11" s="27">
        <v>45243.25</v>
      </c>
      <c r="K11" s="23" t="s">
        <v>61</v>
      </c>
    </row>
    <row r="12" spans="2:24" ht="21.9" customHeight="1">
      <c r="B12" s="25">
        <v>46143</v>
      </c>
      <c r="C12" s="26"/>
      <c r="D12" s="27"/>
      <c r="E12" s="27"/>
      <c r="F12" s="27"/>
      <c r="G12" s="26"/>
      <c r="H12" s="26"/>
      <c r="I12" s="26"/>
      <c r="J12" s="27"/>
      <c r="K12" s="23" t="s">
        <v>61</v>
      </c>
    </row>
    <row r="13" spans="2:24" ht="21.9" customHeight="1">
      <c r="B13" s="25">
        <v>46174</v>
      </c>
      <c r="C13" s="26"/>
      <c r="D13" s="27"/>
      <c r="E13" s="27"/>
      <c r="F13" s="27"/>
      <c r="G13" s="26"/>
      <c r="H13" s="27"/>
      <c r="I13" s="26"/>
      <c r="J13" s="27"/>
      <c r="K13" s="23" t="s">
        <v>61</v>
      </c>
    </row>
    <row r="14" spans="2:24" ht="21.9" customHeight="1">
      <c r="B14" s="25">
        <v>46204</v>
      </c>
      <c r="C14" s="26"/>
      <c r="D14" s="27"/>
      <c r="E14" s="27"/>
      <c r="F14" s="27"/>
      <c r="G14" s="27"/>
      <c r="H14" s="27"/>
      <c r="I14" s="26"/>
      <c r="J14" s="27"/>
      <c r="K14" s="23" t="s">
        <v>61</v>
      </c>
    </row>
    <row r="15" spans="2:24" ht="21.9" customHeight="1">
      <c r="B15" s="25">
        <v>46235</v>
      </c>
      <c r="C15" s="26"/>
      <c r="D15" s="27"/>
      <c r="E15" s="27"/>
      <c r="F15" s="27"/>
      <c r="G15" s="27"/>
      <c r="H15" s="26"/>
      <c r="I15" s="26"/>
      <c r="J15" s="27"/>
      <c r="K15" s="23" t="s">
        <v>61</v>
      </c>
    </row>
    <row r="16" spans="2:24" ht="21.9" customHeight="1">
      <c r="B16" s="25">
        <v>46266</v>
      </c>
      <c r="C16" s="26"/>
      <c r="D16" s="27"/>
      <c r="E16" s="27"/>
      <c r="F16" s="27"/>
      <c r="G16" s="26"/>
      <c r="H16" s="27"/>
      <c r="I16" s="26"/>
      <c r="J16" s="27"/>
      <c r="K16" s="23" t="s">
        <v>61</v>
      </c>
    </row>
    <row r="17" spans="2:11" ht="21.9" customHeight="1">
      <c r="B17" s="25">
        <v>46296</v>
      </c>
      <c r="C17" s="26"/>
      <c r="D17" s="27"/>
      <c r="E17" s="27"/>
      <c r="F17" s="27"/>
      <c r="G17" s="26"/>
      <c r="H17" s="26"/>
      <c r="I17" s="26"/>
      <c r="J17" s="27"/>
      <c r="K17" s="23" t="s">
        <v>61</v>
      </c>
    </row>
    <row r="18" spans="2:11" ht="21.9" customHeight="1">
      <c r="B18" s="25">
        <v>46327</v>
      </c>
      <c r="C18" s="26"/>
      <c r="D18" s="27"/>
      <c r="E18" s="27"/>
      <c r="F18" s="27"/>
      <c r="G18" s="26"/>
      <c r="H18" s="26"/>
      <c r="I18" s="26"/>
      <c r="J18" s="27"/>
      <c r="K18" s="23" t="s">
        <v>61</v>
      </c>
    </row>
    <row r="19" spans="2:11" ht="21.9" customHeight="1">
      <c r="B19" s="25">
        <v>46357</v>
      </c>
      <c r="C19" s="26"/>
      <c r="D19" s="27"/>
      <c r="E19" s="27"/>
      <c r="F19" s="27"/>
      <c r="G19" s="26"/>
      <c r="H19" s="26"/>
      <c r="I19" s="26"/>
      <c r="J19" s="27"/>
      <c r="K19" s="23" t="s">
        <v>61</v>
      </c>
    </row>
  </sheetData>
  <mergeCells count="8">
    <mergeCell ref="B4:K4"/>
    <mergeCell ref="B5:K5"/>
    <mergeCell ref="E6:I6"/>
    <mergeCell ref="B6:B7"/>
    <mergeCell ref="C6:C7"/>
    <mergeCell ref="D6:D7"/>
    <mergeCell ref="J6:J7"/>
    <mergeCell ref="K6:K7"/>
  </mergeCells>
  <printOptions horizontalCentered="1" verticalCentered="1"/>
  <pageMargins left="0" right="0" top="0" bottom="0" header="0" footer="0"/>
  <pageSetup paperSize="9" scale="88" fitToHeight="0" orientation="portrait" r:id="rId1"/>
  <headerFooter>
    <oddFooter>&amp;C&amp;1#&amp;"Calibri"&amp;9&amp;K000000 Internal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11"/>
  <sheetViews>
    <sheetView topLeftCell="B7" zoomScale="85" zoomScaleNormal="85" workbookViewId="0">
      <selection activeCell="F15" sqref="F15"/>
    </sheetView>
  </sheetViews>
  <sheetFormatPr defaultColWidth="9" defaultRowHeight="13.8"/>
  <cols>
    <col min="1" max="1" width="22.5546875" customWidth="1"/>
    <col min="2" max="2" width="46" customWidth="1"/>
    <col min="3" max="3" width="8.44140625" customWidth="1"/>
    <col min="4" max="4" width="7.88671875" customWidth="1"/>
    <col min="5" max="5" width="14" customWidth="1"/>
    <col min="6" max="6" width="10.109375" customWidth="1"/>
    <col min="7" max="7" width="11" customWidth="1"/>
    <col min="8" max="8" width="10.44140625" customWidth="1"/>
    <col min="10" max="10" width="18" customWidth="1"/>
  </cols>
  <sheetData>
    <row r="1" spans="1:24" ht="15.75" customHeight="1">
      <c r="A1" s="351" t="s">
        <v>211</v>
      </c>
      <c r="B1" s="351"/>
      <c r="C1" s="351"/>
      <c r="D1" s="351"/>
      <c r="E1" s="351"/>
      <c r="F1" s="351"/>
      <c r="G1" s="351"/>
      <c r="H1" s="351"/>
      <c r="I1" s="351"/>
      <c r="J1" s="351"/>
    </row>
    <row r="2" spans="1:24">
      <c r="A2" s="351"/>
      <c r="B2" s="351"/>
      <c r="C2" s="351"/>
      <c r="D2" s="351"/>
      <c r="E2" s="351"/>
      <c r="F2" s="351"/>
      <c r="G2" s="351"/>
      <c r="H2" s="351"/>
      <c r="I2" s="351"/>
      <c r="J2" s="351"/>
    </row>
    <row r="3" spans="1:24" ht="24.75" customHeight="1">
      <c r="A3" s="351"/>
      <c r="B3" s="351"/>
      <c r="C3" s="351"/>
      <c r="D3" s="351"/>
      <c r="E3" s="351"/>
      <c r="F3" s="351"/>
      <c r="G3" s="351"/>
      <c r="H3" s="351"/>
      <c r="I3" s="351"/>
      <c r="J3" s="351"/>
    </row>
    <row r="4" spans="1:24" ht="24.9" customHeight="1">
      <c r="A4" s="352" t="s">
        <v>212</v>
      </c>
      <c r="B4" s="352"/>
      <c r="C4" s="352"/>
      <c r="D4" s="352"/>
      <c r="E4" s="353"/>
      <c r="F4" s="356" t="s">
        <v>213</v>
      </c>
      <c r="G4" s="356"/>
      <c r="H4" s="356"/>
      <c r="I4" s="356"/>
      <c r="J4" s="19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54"/>
      <c r="X4" s="355"/>
    </row>
    <row r="5" spans="1:24" ht="24.9" customHeight="1">
      <c r="A5" s="352"/>
      <c r="B5" s="352"/>
      <c r="C5" s="352"/>
      <c r="D5" s="352"/>
      <c r="E5" s="353"/>
      <c r="F5" s="356" t="s">
        <v>214</v>
      </c>
      <c r="G5" s="356"/>
      <c r="H5" s="356"/>
      <c r="I5" s="356"/>
      <c r="J5" s="19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355"/>
      <c r="X5" s="355"/>
    </row>
    <row r="6" spans="1:24" ht="24.75" customHeight="1">
      <c r="A6" s="352"/>
      <c r="B6" s="352"/>
      <c r="C6" s="352"/>
      <c r="D6" s="352"/>
      <c r="E6" s="353"/>
      <c r="F6" s="357" t="s">
        <v>215</v>
      </c>
      <c r="G6" s="357"/>
      <c r="H6" s="357"/>
      <c r="I6" s="357"/>
      <c r="J6" s="19">
        <f>SUM(J4:J5)</f>
        <v>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355"/>
      <c r="X6" s="355"/>
    </row>
    <row r="7" spans="1:24" ht="30.75" customHeight="1">
      <c r="A7" s="349" t="s">
        <v>279</v>
      </c>
      <c r="B7" s="350"/>
      <c r="C7" s="350"/>
      <c r="D7" s="350"/>
      <c r="E7" s="350"/>
      <c r="F7" s="350"/>
      <c r="G7" s="350"/>
      <c r="H7" s="350"/>
      <c r="I7" s="350"/>
      <c r="J7" s="35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4"/>
      <c r="X7" s="24"/>
    </row>
    <row r="8" spans="1:24" ht="31.5" customHeight="1">
      <c r="A8" s="348" t="s">
        <v>216</v>
      </c>
      <c r="B8" s="348" t="s">
        <v>217</v>
      </c>
      <c r="C8" s="348" t="s">
        <v>218</v>
      </c>
      <c r="D8" s="348"/>
      <c r="E8" s="348" t="s">
        <v>219</v>
      </c>
      <c r="F8" s="347" t="s">
        <v>220</v>
      </c>
      <c r="G8" s="347"/>
      <c r="H8" s="347"/>
      <c r="I8" s="347"/>
      <c r="J8" s="348" t="s">
        <v>221</v>
      </c>
    </row>
    <row r="9" spans="1:24" ht="55.2">
      <c r="A9" s="348"/>
      <c r="B9" s="348"/>
      <c r="C9" s="20" t="s">
        <v>222</v>
      </c>
      <c r="D9" s="20" t="s">
        <v>223</v>
      </c>
      <c r="E9" s="348"/>
      <c r="F9" s="20" t="s">
        <v>224</v>
      </c>
      <c r="G9" s="20" t="s">
        <v>225</v>
      </c>
      <c r="H9" s="20" t="s">
        <v>226</v>
      </c>
      <c r="I9" s="20" t="s">
        <v>227</v>
      </c>
      <c r="J9" s="348"/>
    </row>
    <row r="10" spans="1:24" ht="24" customHeight="1">
      <c r="A10" s="22" t="s">
        <v>228</v>
      </c>
      <c r="B10" s="3" t="s">
        <v>229</v>
      </c>
      <c r="C10" s="23">
        <v>1</v>
      </c>
      <c r="D10" s="23" t="s">
        <v>230</v>
      </c>
      <c r="E10" s="23">
        <v>19007</v>
      </c>
      <c r="F10" s="23">
        <v>6829</v>
      </c>
      <c r="G10" s="23">
        <v>7313</v>
      </c>
      <c r="H10" s="23">
        <f>+E10-F10-G10</f>
        <v>4865</v>
      </c>
      <c r="I10" s="3" t="s">
        <v>115</v>
      </c>
      <c r="J10" s="23" t="s">
        <v>115</v>
      </c>
    </row>
    <row r="11" spans="1:24" ht="24" customHeight="1">
      <c r="A11" s="22" t="s">
        <v>231</v>
      </c>
      <c r="B11" s="3" t="s">
        <v>229</v>
      </c>
      <c r="C11" s="23">
        <v>3</v>
      </c>
      <c r="D11" s="23" t="s">
        <v>230</v>
      </c>
      <c r="E11" s="23">
        <v>16991</v>
      </c>
      <c r="F11" s="23">
        <v>6829</v>
      </c>
      <c r="G11" s="23">
        <v>7313</v>
      </c>
      <c r="H11" s="23">
        <f>+E11-F11-G11</f>
        <v>2849</v>
      </c>
      <c r="I11" s="3" t="s">
        <v>115</v>
      </c>
      <c r="J11" s="23" t="s">
        <v>115</v>
      </c>
    </row>
  </sheetData>
  <mergeCells count="13">
    <mergeCell ref="A1:J3"/>
    <mergeCell ref="A4:E6"/>
    <mergeCell ref="W4:X6"/>
    <mergeCell ref="F4:I4"/>
    <mergeCell ref="F5:I5"/>
    <mergeCell ref="F6:I6"/>
    <mergeCell ref="A7:J7"/>
    <mergeCell ref="C8:D8"/>
    <mergeCell ref="F8:I8"/>
    <mergeCell ref="A8:A9"/>
    <mergeCell ref="B8:B9"/>
    <mergeCell ref="E8:E9"/>
    <mergeCell ref="J8:J9"/>
  </mergeCells>
  <printOptions gridLines="1"/>
  <pageMargins left="0" right="0" top="0" bottom="0" header="0" footer="0"/>
  <pageSetup paperSize="9" scale="93" fitToHeight="0" orientation="landscape" r:id="rId1"/>
  <headerFooter>
    <oddFooter>&amp;C&amp;1#&amp;"Calibri"&amp;9&amp;K000000 Internal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9"/>
  <sheetViews>
    <sheetView topLeftCell="A4" zoomScale="85" zoomScaleNormal="85" zoomScaleSheetLayoutView="85" workbookViewId="0">
      <selection activeCell="E10" sqref="E10"/>
    </sheetView>
  </sheetViews>
  <sheetFormatPr defaultColWidth="8.5546875" defaultRowHeight="15.6"/>
  <cols>
    <col min="1" max="1" width="3.44140625" style="4" customWidth="1"/>
    <col min="2" max="2" width="32.33203125" style="4" customWidth="1"/>
    <col min="3" max="3" width="15.44140625" style="4" customWidth="1"/>
    <col min="4" max="4" width="14" style="4" customWidth="1"/>
    <col min="5" max="8" width="9.5546875" style="4" customWidth="1"/>
    <col min="9" max="9" width="10.109375" style="4" customWidth="1"/>
    <col min="10" max="14" width="9.5546875" style="4" customWidth="1"/>
    <col min="15" max="15" width="15.109375" style="4" customWidth="1"/>
    <col min="16" max="16" width="13" style="4" customWidth="1"/>
  </cols>
  <sheetData>
    <row r="1" spans="1:16" ht="39.75" customHeight="1">
      <c r="A1" s="358" t="s">
        <v>232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</row>
    <row r="2" spans="1:16" ht="24" customHeight="1">
      <c r="A2" s="359" t="s">
        <v>268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</row>
    <row r="3" spans="1:16" ht="50.1" customHeight="1">
      <c r="A3" s="360" t="s">
        <v>233</v>
      </c>
      <c r="B3" s="360"/>
      <c r="C3" s="360"/>
      <c r="D3" s="360"/>
      <c r="E3" s="361" t="s">
        <v>42</v>
      </c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</row>
    <row r="4" spans="1:16" ht="58.5" customHeight="1">
      <c r="A4" s="362" t="s">
        <v>234</v>
      </c>
      <c r="B4" s="360"/>
      <c r="C4" s="360"/>
      <c r="D4" s="360"/>
      <c r="E4" s="332" t="s">
        <v>156</v>
      </c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4"/>
    </row>
    <row r="5" spans="1:16" ht="50.1" customHeight="1">
      <c r="A5" s="363" t="s">
        <v>235</v>
      </c>
      <c r="B5" s="363" t="s">
        <v>236</v>
      </c>
      <c r="C5" s="363" t="s">
        <v>237</v>
      </c>
      <c r="D5" s="364" t="s">
        <v>238</v>
      </c>
      <c r="E5" s="362" t="s">
        <v>239</v>
      </c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</row>
    <row r="6" spans="1:16" ht="24.75" customHeight="1">
      <c r="A6" s="363"/>
      <c r="B6" s="363"/>
      <c r="C6" s="363"/>
      <c r="D6" s="36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/>
      <c r="P6" s="367" t="s">
        <v>240</v>
      </c>
    </row>
    <row r="7" spans="1:16" ht="118.5" customHeight="1">
      <c r="A7" s="363"/>
      <c r="B7" s="363"/>
      <c r="C7" s="363"/>
      <c r="D7" s="366"/>
      <c r="E7" s="6" t="s">
        <v>269</v>
      </c>
      <c r="F7" s="6" t="s">
        <v>271</v>
      </c>
      <c r="G7" s="6" t="s">
        <v>270</v>
      </c>
      <c r="H7" s="6"/>
      <c r="I7" s="204"/>
      <c r="J7" s="204"/>
      <c r="K7" s="204"/>
      <c r="L7" s="204"/>
      <c r="M7" s="204"/>
      <c r="N7" s="6"/>
      <c r="O7" s="6" t="s">
        <v>241</v>
      </c>
      <c r="P7" s="368"/>
    </row>
    <row r="8" spans="1:16">
      <c r="A8" s="7">
        <v>1</v>
      </c>
      <c r="B8" s="8" t="s">
        <v>16</v>
      </c>
      <c r="C8" s="9" t="s">
        <v>59</v>
      </c>
      <c r="D8" s="10" t="s">
        <v>60</v>
      </c>
      <c r="E8" s="11" t="s">
        <v>242</v>
      </c>
      <c r="F8" s="11" t="s">
        <v>242</v>
      </c>
      <c r="G8" s="11" t="s">
        <v>242</v>
      </c>
      <c r="H8" s="203"/>
      <c r="I8" s="203"/>
      <c r="J8" s="203"/>
      <c r="K8" s="203"/>
      <c r="L8" s="203"/>
      <c r="M8" s="203"/>
      <c r="N8" s="16"/>
      <c r="O8" s="17"/>
      <c r="P8" s="7" t="s">
        <v>294</v>
      </c>
    </row>
    <row r="9" spans="1:16">
      <c r="A9" s="7">
        <v>2</v>
      </c>
      <c r="B9" s="8" t="s">
        <v>19</v>
      </c>
      <c r="C9" s="9" t="s">
        <v>62</v>
      </c>
      <c r="D9" s="10" t="s">
        <v>63</v>
      </c>
      <c r="E9" s="11" t="s">
        <v>242</v>
      </c>
      <c r="F9" s="11" t="s">
        <v>242</v>
      </c>
      <c r="G9" s="11" t="s">
        <v>242</v>
      </c>
      <c r="H9" s="13"/>
      <c r="I9" s="12"/>
      <c r="J9" s="11"/>
      <c r="K9" s="11"/>
      <c r="L9" s="11"/>
      <c r="M9" s="11"/>
      <c r="N9" s="12"/>
      <c r="O9" s="17"/>
      <c r="P9" s="7" t="s">
        <v>294</v>
      </c>
    </row>
    <row r="10" spans="1:16">
      <c r="A10" s="7">
        <f>A9+1</f>
        <v>3</v>
      </c>
      <c r="B10" s="221" t="s">
        <v>275</v>
      </c>
      <c r="C10" s="212" t="s">
        <v>276</v>
      </c>
      <c r="D10" s="222" t="s">
        <v>278</v>
      </c>
      <c r="E10" s="11"/>
      <c r="F10" s="11"/>
      <c r="G10" s="12"/>
      <c r="H10" s="13"/>
      <c r="I10" s="12"/>
      <c r="J10" s="11"/>
      <c r="K10" s="11"/>
      <c r="L10" s="11"/>
      <c r="M10" s="11"/>
      <c r="N10" s="12"/>
      <c r="O10" s="17"/>
      <c r="P10" s="7" t="s">
        <v>294</v>
      </c>
    </row>
    <row r="11" spans="1:16">
      <c r="A11" s="7"/>
      <c r="B11" s="221"/>
      <c r="C11" s="410"/>
      <c r="D11" s="222"/>
      <c r="E11" s="11"/>
      <c r="F11" s="11"/>
      <c r="G11" s="12"/>
      <c r="H11" s="13"/>
      <c r="I11" s="12"/>
      <c r="J11" s="11"/>
      <c r="K11" s="11"/>
      <c r="L11" s="11"/>
      <c r="M11" s="11"/>
      <c r="N11" s="12"/>
      <c r="O11" s="17"/>
      <c r="P11" s="7"/>
    </row>
    <row r="12" spans="1:16">
      <c r="A12" s="7"/>
      <c r="B12" s="221"/>
      <c r="C12" s="410"/>
      <c r="D12" s="222"/>
      <c r="E12" s="11"/>
      <c r="F12" s="11"/>
      <c r="G12" s="12"/>
      <c r="H12" s="13"/>
      <c r="I12" s="12"/>
      <c r="J12" s="11"/>
      <c r="K12" s="11"/>
      <c r="L12" s="11"/>
      <c r="M12" s="11"/>
      <c r="N12" s="12"/>
      <c r="O12" s="17"/>
      <c r="P12" s="7"/>
    </row>
    <row r="13" spans="1:16">
      <c r="A13" s="7"/>
      <c r="B13" s="221"/>
      <c r="C13" s="410"/>
      <c r="D13" s="222"/>
      <c r="E13" s="11"/>
      <c r="F13" s="11"/>
      <c r="G13" s="12"/>
      <c r="H13" s="13"/>
      <c r="I13" s="12"/>
      <c r="J13" s="11"/>
      <c r="K13" s="11"/>
      <c r="L13" s="11"/>
      <c r="M13" s="11"/>
      <c r="N13" s="12"/>
      <c r="O13" s="17"/>
      <c r="P13" s="7"/>
    </row>
    <row r="14" spans="1:16">
      <c r="B14" s="14" t="s">
        <v>243</v>
      </c>
      <c r="C14" s="14"/>
    </row>
    <row r="15" spans="1:16">
      <c r="B15" s="14"/>
      <c r="C15" s="14"/>
    </row>
    <row r="16" spans="1:16">
      <c r="B16" s="194" t="s">
        <v>244</v>
      </c>
      <c r="C16" s="14"/>
    </row>
    <row r="17" spans="2:3">
      <c r="B17" s="194" t="s">
        <v>245</v>
      </c>
      <c r="C17" s="14"/>
    </row>
    <row r="18" spans="2:3" s="4" customFormat="1">
      <c r="B18" s="195" t="s">
        <v>246</v>
      </c>
      <c r="C18" s="15"/>
    </row>
    <row r="19" spans="2:3" s="4" customFormat="1">
      <c r="B19" s="195" t="s">
        <v>247</v>
      </c>
      <c r="C19" s="15"/>
    </row>
  </sheetData>
  <mergeCells count="12">
    <mergeCell ref="E5:P5"/>
    <mergeCell ref="A5:A7"/>
    <mergeCell ref="B5:B7"/>
    <mergeCell ref="C5:C7"/>
    <mergeCell ref="D5:D7"/>
    <mergeCell ref="P6:P7"/>
    <mergeCell ref="A1:P1"/>
    <mergeCell ref="A2:P2"/>
    <mergeCell ref="A3:D3"/>
    <mergeCell ref="E3:P3"/>
    <mergeCell ref="A4:D4"/>
    <mergeCell ref="E4:P4"/>
  </mergeCells>
  <pageMargins left="0.70866141732283505" right="0.70866141732283505" top="0.74803149606299202" bottom="0.74803149606299202" header="0.31496062992126" footer="0.31496062992126"/>
  <pageSetup paperSize="9" scale="70" fitToHeight="0" orientation="landscape" r:id="rId1"/>
  <headerFooter>
    <oddFooter>&amp;C&amp;1#&amp;"Calibri"&amp;9&amp;K000000 Internal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9"/>
  <sheetViews>
    <sheetView view="pageBreakPreview" topLeftCell="A5" workbookViewId="0">
      <selection activeCell="A7" sqref="A7:E7"/>
    </sheetView>
  </sheetViews>
  <sheetFormatPr defaultColWidth="9.109375" defaultRowHeight="13.8"/>
  <cols>
    <col min="1" max="1" width="41.5546875" customWidth="1"/>
    <col min="2" max="5" width="15.5546875" customWidth="1"/>
  </cols>
  <sheetData>
    <row r="1" spans="1:16" ht="24.9" customHeight="1">
      <c r="A1" s="231" t="s">
        <v>248</v>
      </c>
      <c r="B1" s="231"/>
      <c r="C1" s="231"/>
      <c r="D1" s="231"/>
      <c r="E1" s="231"/>
    </row>
    <row r="2" spans="1:16" ht="24.9" customHeight="1">
      <c r="A2" s="231"/>
      <c r="B2" s="231"/>
      <c r="C2" s="231"/>
      <c r="D2" s="231"/>
      <c r="E2" s="231"/>
    </row>
    <row r="3" spans="1:16" ht="24.9" customHeight="1">
      <c r="A3" s="231"/>
      <c r="B3" s="231"/>
      <c r="C3" s="231"/>
      <c r="D3" s="231"/>
      <c r="E3" s="231"/>
    </row>
    <row r="4" spans="1:16" ht="24.9" customHeight="1">
      <c r="A4" s="232" t="s">
        <v>249</v>
      </c>
      <c r="B4" s="232"/>
      <c r="C4" s="232"/>
      <c r="D4" s="232"/>
      <c r="E4" s="232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.9" customHeight="1">
      <c r="A5" s="232"/>
      <c r="B5" s="232"/>
      <c r="C5" s="232"/>
      <c r="D5" s="232"/>
      <c r="E5" s="232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.9" customHeight="1">
      <c r="A6" s="232"/>
      <c r="B6" s="232"/>
      <c r="C6" s="232"/>
      <c r="D6" s="232"/>
      <c r="E6" s="232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30.75" customHeight="1">
      <c r="A7" s="233" t="s">
        <v>272</v>
      </c>
      <c r="B7" s="233"/>
      <c r="C7" s="233"/>
      <c r="D7" s="233"/>
      <c r="E7" s="233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31.5" customHeight="1">
      <c r="A8" s="231" t="s">
        <v>250</v>
      </c>
      <c r="B8" s="231" t="s">
        <v>251</v>
      </c>
      <c r="C8" s="231" t="s">
        <v>252</v>
      </c>
      <c r="D8" s="231" t="s">
        <v>253</v>
      </c>
      <c r="E8" s="231" t="s">
        <v>254</v>
      </c>
    </row>
    <row r="9" spans="1:16" ht="24" customHeight="1">
      <c r="A9" s="231"/>
      <c r="B9" s="231"/>
      <c r="C9" s="231"/>
      <c r="D9" s="231"/>
      <c r="E9" s="231"/>
    </row>
    <row r="10" spans="1:16" ht="45" customHeight="1">
      <c r="A10" s="2" t="s">
        <v>255</v>
      </c>
      <c r="B10" s="3" t="s">
        <v>115</v>
      </c>
      <c r="C10" s="3"/>
      <c r="D10" s="3"/>
      <c r="E10" s="3"/>
    </row>
    <row r="11" spans="1:16" ht="45" customHeight="1">
      <c r="A11" s="2" t="s">
        <v>256</v>
      </c>
      <c r="B11" s="3" t="s">
        <v>115</v>
      </c>
      <c r="C11" s="3"/>
      <c r="D11" s="3"/>
      <c r="E11" s="3"/>
    </row>
    <row r="12" spans="1:16" ht="45" customHeight="1">
      <c r="A12" s="2" t="s">
        <v>257</v>
      </c>
      <c r="B12" s="3" t="s">
        <v>115</v>
      </c>
      <c r="C12" s="3"/>
      <c r="D12" s="3"/>
      <c r="E12" s="3"/>
    </row>
    <row r="13" spans="1:16" ht="45" customHeight="1">
      <c r="A13" s="2" t="s">
        <v>258</v>
      </c>
      <c r="B13" s="3" t="s">
        <v>115</v>
      </c>
      <c r="C13" s="3"/>
      <c r="D13" s="3"/>
      <c r="E13" s="3"/>
    </row>
    <row r="14" spans="1:16" ht="45" customHeight="1">
      <c r="A14" s="2" t="s">
        <v>259</v>
      </c>
      <c r="B14" s="3" t="s">
        <v>115</v>
      </c>
      <c r="C14" s="3"/>
      <c r="D14" s="3"/>
      <c r="E14" s="3"/>
    </row>
    <row r="15" spans="1:16" ht="45" customHeight="1">
      <c r="A15" s="2" t="s">
        <v>260</v>
      </c>
      <c r="B15" s="3" t="s">
        <v>115</v>
      </c>
      <c r="C15" s="3"/>
      <c r="D15" s="3"/>
      <c r="E15" s="3"/>
    </row>
    <row r="16" spans="1:16" ht="45" customHeight="1">
      <c r="A16" s="2" t="s">
        <v>261</v>
      </c>
      <c r="B16" s="3" t="s">
        <v>115</v>
      </c>
      <c r="C16" s="3"/>
      <c r="D16" s="3"/>
      <c r="E16" s="3"/>
    </row>
    <row r="17" spans="1:5" ht="45" customHeight="1">
      <c r="A17" s="2" t="s">
        <v>262</v>
      </c>
      <c r="B17" s="3" t="s">
        <v>115</v>
      </c>
      <c r="C17" s="3"/>
      <c r="D17" s="3"/>
      <c r="E17" s="3"/>
    </row>
    <row r="18" spans="1:5" ht="45" customHeight="1">
      <c r="A18" s="2" t="s">
        <v>263</v>
      </c>
      <c r="B18" s="3" t="s">
        <v>115</v>
      </c>
      <c r="C18" s="3"/>
      <c r="D18" s="3"/>
      <c r="E18" s="3"/>
    </row>
    <row r="19" spans="1:5" ht="45" customHeight="1">
      <c r="A19" s="2" t="s">
        <v>264</v>
      </c>
      <c r="B19" s="3" t="s">
        <v>115</v>
      </c>
      <c r="C19" s="3"/>
      <c r="D19" s="3"/>
      <c r="E19" s="3"/>
    </row>
  </sheetData>
  <mergeCells count="8">
    <mergeCell ref="A1:E3"/>
    <mergeCell ref="A4:E6"/>
    <mergeCell ref="A7:E7"/>
    <mergeCell ref="A8:A9"/>
    <mergeCell ref="B8:B9"/>
    <mergeCell ref="C8:C9"/>
    <mergeCell ref="D8:D9"/>
    <mergeCell ref="E8:E9"/>
  </mergeCells>
  <pageMargins left="0" right="0" top="0" bottom="0" header="0" footer="0"/>
  <pageSetup paperSize="9" fitToHeight="0" orientation="portrait" r:id="rId1"/>
  <headerFooter>
    <oddFooter>&amp;C&amp;1#&amp;"Calibri"&amp;9&amp;K000000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In -out register</vt:lpstr>
      <vt:lpstr>ESIC_EPF_Tracking sheet</vt:lpstr>
      <vt:lpstr>Form No.XXVI</vt:lpstr>
      <vt:lpstr>Form XXVII Register of Wages</vt:lpstr>
      <vt:lpstr>Form XXVIII Wage Slip</vt:lpstr>
      <vt:lpstr>Deduction</vt:lpstr>
      <vt:lpstr>Form B Consolidated Wages</vt:lpstr>
      <vt:lpstr>Form D Equal Wages Register</vt:lpstr>
      <vt:lpstr>Form VI</vt:lpstr>
      <vt:lpstr>Form C Register of Unpaid</vt:lpstr>
      <vt:lpstr>Deduction!Print_Area</vt:lpstr>
      <vt:lpstr>'ESIC_EPF_Tracking sheet'!Print_Area</vt:lpstr>
      <vt:lpstr>'Form B Consolidated Wages'!Print_Area</vt:lpstr>
      <vt:lpstr>'Form C Register of Unpaid'!Print_Area</vt:lpstr>
      <vt:lpstr>'Form D Equal Wages Register'!Print_Area</vt:lpstr>
      <vt:lpstr>'Form No.XXVI'!Print_Area</vt:lpstr>
      <vt:lpstr>'Form XXVII Register of Wages'!Print_Area</vt:lpstr>
      <vt:lpstr>'Form XXVIII Wage Slip'!Print_Area</vt:lpstr>
      <vt:lpstr>'In -out register'!Print_Area</vt:lpstr>
      <vt:lpstr>Deduction!Print_Titles</vt:lpstr>
      <vt:lpstr>'In -out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sathyacsin</dc:creator>
  <cp:lastModifiedBy>Rithvin Sasikumar</cp:lastModifiedBy>
  <cp:lastPrinted>2025-12-11T07:45:58Z</cp:lastPrinted>
  <dcterms:created xsi:type="dcterms:W3CDTF">2018-05-03T10:46:00Z</dcterms:created>
  <dcterms:modified xsi:type="dcterms:W3CDTF">2026-07-10T02:37:47Z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E3888B2996EF4344836411D0B615E88E_12</vt:lpwstr>
  </property>
  <property fmtid="{D5CDD505-2E9C-101B-9397-08002B2CF9AE}" pid="3" name="KSOProductBuildVer">
    <vt:lpwstr>1033-12.2.0.21931</vt:lpwstr>
  </property>
</Properties>
</file>